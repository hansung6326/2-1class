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10주차\"/>
    </mc:Choice>
  </mc:AlternateContent>
  <xr:revisionPtr revIDLastSave="0" documentId="13_ncr:1_{47478FA0-6C4B-49CD-962B-5AE193F67A13}" xr6:coauthVersionLast="47" xr6:coauthVersionMax="47" xr10:uidLastSave="{00000000-0000-0000-0000-000000000000}"/>
  <bookViews>
    <workbookView xWindow="-110" yWindow="-110" windowWidth="25820" windowHeight="15500" xr2:uid="{589C27A5-8318-459E-A371-F7C3356B73B5}"/>
  </bookViews>
  <sheets>
    <sheet name="Sheet1" sheetId="1" r:id="rId1"/>
  </sheets>
  <definedNames>
    <definedName name="_xlchart.v1.0" hidden="1">Sheet1!$F$11:$DA$11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1" l="1"/>
  <c r="H29" i="1"/>
  <c r="K19" i="1"/>
  <c r="H22" i="1"/>
  <c r="H21" i="1"/>
  <c r="J19" i="1" s="1"/>
  <c r="B18" i="1"/>
  <c r="H13" i="1"/>
  <c r="F13" i="1"/>
  <c r="F12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G11" i="1"/>
  <c r="F11" i="1"/>
  <c r="B6" i="1" l="1"/>
  <c r="B7" i="1"/>
</calcChain>
</file>

<file path=xl/sharedStrings.xml><?xml version="1.0" encoding="utf-8"?>
<sst xmlns="http://schemas.openxmlformats.org/spreadsheetml/2006/main" count="32" uniqueCount="25">
  <si>
    <t>1. (1)</t>
    <phoneticPr fontId="1" type="noConversion"/>
  </si>
  <si>
    <t>평균</t>
    <phoneticPr fontId="1" type="noConversion"/>
  </si>
  <si>
    <t>표준편차</t>
    <phoneticPr fontId="1" type="noConversion"/>
  </si>
  <si>
    <t>표본크기</t>
    <phoneticPr fontId="1" type="noConversion"/>
  </si>
  <si>
    <t>표본평균의 평균</t>
    <phoneticPr fontId="1" type="noConversion"/>
  </si>
  <si>
    <t>표본평균의 표준편차</t>
    <phoneticPr fontId="1" type="noConversion"/>
  </si>
  <si>
    <t>1. (2)</t>
    <phoneticPr fontId="1" type="noConversion"/>
  </si>
  <si>
    <t>2번 문제</t>
    <phoneticPr fontId="1" type="noConversion"/>
  </si>
  <si>
    <t>. √3 / 3</t>
    <phoneticPr fontId="1" type="noConversion"/>
  </si>
  <si>
    <t>3번 문제</t>
    <phoneticPr fontId="1" type="noConversion"/>
  </si>
  <si>
    <t>실제 평균을 포함하는</t>
    <phoneticPr fontId="1" type="noConversion"/>
  </si>
  <si>
    <t>신뢰구간의 개수</t>
    <phoneticPr fontId="1" type="noConversion"/>
  </si>
  <si>
    <t>표본 크기</t>
    <phoneticPr fontId="1" type="noConversion"/>
  </si>
  <si>
    <t>표본평균</t>
    <phoneticPr fontId="1" type="noConversion"/>
  </si>
  <si>
    <t>표준 오차</t>
    <phoneticPr fontId="1" type="noConversion"/>
  </si>
  <si>
    <t>z(0.005)</t>
    <phoneticPr fontId="1" type="noConversion"/>
  </si>
  <si>
    <t>99% C.I.</t>
    <phoneticPr fontId="1" type="noConversion"/>
  </si>
  <si>
    <t>L</t>
    <phoneticPr fontId="1" type="noConversion"/>
  </si>
  <si>
    <t>U</t>
    <phoneticPr fontId="1" type="noConversion"/>
  </si>
  <si>
    <t>4번 문제</t>
    <phoneticPr fontId="1" type="noConversion"/>
  </si>
  <si>
    <t>5번 문제</t>
    <phoneticPr fontId="1" type="noConversion"/>
  </si>
  <si>
    <t>신뢰도</t>
    <phoneticPr fontId="1" type="noConversion"/>
  </si>
  <si>
    <t>z(0.05)</t>
    <phoneticPr fontId="1" type="noConversion"/>
  </si>
  <si>
    <t>표본의 크기</t>
    <phoneticPr fontId="1" type="noConversion"/>
  </si>
  <si>
    <t>소수점 올림하면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</si>
</sst>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맑은 고딕" panose="020B0503020000020004" pitchFamily="34" charset="-127"/>
              </a:rPr>
              <a:t>히스토그램</a:t>
            </a:r>
            <a:endParaRPr lang="en-US" alt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맑은 고딕" panose="020B0503020000020004" pitchFamily="34" charset="-127"/>
            </a:endParaRPr>
          </a:p>
        </cx:rich>
      </cx:tx>
    </cx:title>
    <cx:plotArea>
      <cx:plotAreaRegion>
        <cx:series layoutId="clusteredColumn" uniqueId="{04B5DC7A-3F46-4600-B643-F3986D18E9E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9</xdr:row>
      <xdr:rowOff>101600</xdr:rowOff>
    </xdr:from>
    <xdr:to>
      <xdr:col>2</xdr:col>
      <xdr:colOff>539750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FDB3FE-ACD3-E3D2-2FF1-2809F69E1121}"/>
            </a:ext>
          </a:extLst>
        </xdr:cNvPr>
        <xdr:cNvSpPr txBox="1"/>
      </xdr:nvSpPr>
      <xdr:spPr>
        <a:xfrm>
          <a:off x="76200" y="2044700"/>
          <a:ext cx="257175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표본평균 </a:t>
          </a:r>
          <a:r>
            <a:rPr lang="en-US" altLang="ko-KR"/>
            <a:t>X̄</a:t>
          </a:r>
          <a:r>
            <a:rPr lang="ko-KR" altLang="en-US"/>
            <a:t>는 평균 </a:t>
          </a:r>
          <a:r>
            <a:rPr lang="en-US" altLang="ko-KR"/>
            <a:t>9.4, </a:t>
          </a:r>
          <a:r>
            <a:rPr lang="ko-KR" altLang="en-US"/>
            <a:t>표준편차 </a:t>
          </a:r>
          <a:r>
            <a:rPr lang="en-US" altLang="ko-KR"/>
            <a:t>0.111111</a:t>
          </a:r>
          <a:r>
            <a:rPr lang="ko-KR" altLang="en-US"/>
            <a:t>인 정규분포를 따른다</a:t>
          </a:r>
          <a:endParaRPr lang="ko-KR" altLang="en-US" sz="1100"/>
        </a:p>
      </xdr:txBody>
    </xdr:sp>
    <xdr:clientData/>
  </xdr:twoCellAnchor>
  <xdr:twoCellAnchor>
    <xdr:from>
      <xdr:col>8</xdr:col>
      <xdr:colOff>69850</xdr:colOff>
      <xdr:row>11</xdr:row>
      <xdr:rowOff>0</xdr:rowOff>
    </xdr:from>
    <xdr:to>
      <xdr:col>14</xdr:col>
      <xdr:colOff>635000</xdr:colOff>
      <xdr:row>14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30FE1E-A13D-FD17-CEDF-34EB9FD44B80}"/>
            </a:ext>
          </a:extLst>
        </xdr:cNvPr>
        <xdr:cNvSpPr txBox="1"/>
      </xdr:nvSpPr>
      <xdr:spPr>
        <a:xfrm>
          <a:off x="6927850" y="2374900"/>
          <a:ext cx="452755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표본평균의 평균이 이론적인 평균값 </a:t>
          </a:r>
          <a:r>
            <a:rPr lang="en-US" altLang="ko-KR" sz="1100"/>
            <a:t>3</a:t>
          </a:r>
          <a:r>
            <a:rPr lang="ko-KR" altLang="en-US" sz="1100"/>
            <a:t>과 가깝고</a:t>
          </a:r>
          <a:r>
            <a:rPr lang="en-US" altLang="ko-KR" sz="1100"/>
            <a:t>,</a:t>
          </a:r>
          <a:br>
            <a:rPr lang="en-US" altLang="ko-KR" sz="1100"/>
          </a:br>
          <a:r>
            <a:rPr lang="ko-KR" altLang="en-US" sz="1100"/>
            <a:t>표본평균의 표준편차가 이론적인 표준편차값 </a:t>
          </a:r>
          <a:r>
            <a:rPr lang="ko-KR" altLang="en-US"/>
            <a:t>√</a:t>
          </a:r>
          <a:r>
            <a:rPr lang="en-US" altLang="ko-KR"/>
            <a:t>3/3(0.57735)</a:t>
          </a:r>
          <a:r>
            <a:rPr lang="ko-KR" altLang="en-US"/>
            <a:t>와 가깝다</a:t>
          </a:r>
          <a:r>
            <a:rPr lang="en-US" altLang="ko-KR"/>
            <a:t>.</a:t>
          </a:r>
          <a:endParaRPr lang="ko-KR" altLang="en-US" sz="1100"/>
        </a:p>
      </xdr:txBody>
    </xdr:sp>
    <xdr:clientData/>
  </xdr:twoCellAnchor>
  <xdr:twoCellAnchor>
    <xdr:from>
      <xdr:col>15</xdr:col>
      <xdr:colOff>139700</xdr:colOff>
      <xdr:row>11</xdr:row>
      <xdr:rowOff>31750</xdr:rowOff>
    </xdr:from>
    <xdr:to>
      <xdr:col>22</xdr:col>
      <xdr:colOff>88900</xdr:colOff>
      <xdr:row>23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C1F3AFAF-305D-4DB7-A091-93F752C63F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03100" y="2406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18</xdr:row>
      <xdr:rowOff>146050</xdr:rowOff>
    </xdr:from>
    <xdr:to>
      <xdr:col>3</xdr:col>
      <xdr:colOff>622300</xdr:colOff>
      <xdr:row>23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F356D3-BF4E-345E-729A-CB82B0BF5D20}"/>
            </a:ext>
          </a:extLst>
        </xdr:cNvPr>
        <xdr:cNvSpPr txBox="1"/>
      </xdr:nvSpPr>
      <xdr:spPr>
        <a:xfrm>
          <a:off x="38100" y="4032250"/>
          <a:ext cx="3352800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신뢰구간을 만드는 과정을 계속해서 반복하면</a:t>
          </a:r>
          <a:r>
            <a:rPr lang="en-US" altLang="ko-KR" sz="1100"/>
            <a:t>,</a:t>
          </a:r>
          <a:br>
            <a:rPr lang="en-US" altLang="ko-KR" sz="1100"/>
          </a:br>
          <a:r>
            <a:rPr lang="ko-KR" altLang="en-US" sz="1100"/>
            <a:t>그중 </a:t>
          </a:r>
          <a:r>
            <a:rPr lang="en-US" altLang="ko-KR" sz="1100"/>
            <a:t>90%</a:t>
          </a:r>
          <a:r>
            <a:rPr lang="ko-KR" altLang="en-US" sz="1100"/>
            <a:t>의 구간들은 진짜 모평균을 포함하고</a:t>
          </a:r>
          <a:r>
            <a:rPr lang="ko-KR" altLang="en-US" sz="1100" baseline="0"/>
            <a:t> 있다</a:t>
          </a:r>
          <a:r>
            <a:rPr lang="en-US" altLang="ko-KR" sz="1100" baseline="0"/>
            <a:t>.</a:t>
          </a:r>
          <a:br>
            <a:rPr lang="en-US" altLang="ko-KR" sz="1100" baseline="0"/>
          </a:br>
          <a:r>
            <a:rPr lang="ko-KR" altLang="en-US" sz="1100" baseline="0"/>
            <a:t>정확히 </a:t>
          </a:r>
          <a:r>
            <a:rPr lang="en-US" altLang="ko-KR" sz="1100" baseline="0"/>
            <a:t>180</a:t>
          </a:r>
          <a:r>
            <a:rPr lang="ko-KR" altLang="en-US" sz="1100" baseline="0"/>
            <a:t>개가 아니더라도 약 </a:t>
          </a:r>
          <a:r>
            <a:rPr lang="en-US" altLang="ko-KR" sz="1100" baseline="0"/>
            <a:t>180</a:t>
          </a:r>
          <a:r>
            <a:rPr lang="ko-KR" altLang="en-US" sz="1100" baseline="0"/>
            <a:t>개 근처로 </a:t>
          </a:r>
          <a:br>
            <a:rPr lang="en-US" altLang="ko-KR" sz="1100" baseline="0"/>
          </a:br>
          <a:r>
            <a:rPr lang="ko-KR" altLang="en-US" sz="1100" baseline="0"/>
            <a:t>실제 평균을 포함하게 된다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6F84-B253-4C02-A0FA-2869384386D7}">
  <dimension ref="A1:DA31"/>
  <sheetViews>
    <sheetView tabSelected="1" topLeftCell="A3" workbookViewId="0">
      <selection activeCell="K21" sqref="K21"/>
    </sheetView>
  </sheetViews>
  <sheetFormatPr defaultRowHeight="17" x14ac:dyDescent="0.45"/>
  <cols>
    <col min="1" max="1" width="19" bestFit="1" customWidth="1"/>
    <col min="5" max="5" width="19" bestFit="1" customWidth="1"/>
    <col min="7" max="7" width="15" bestFit="1" customWidth="1"/>
  </cols>
  <sheetData>
    <row r="1" spans="1:105" x14ac:dyDescent="0.45">
      <c r="A1" t="s">
        <v>0</v>
      </c>
      <c r="F1" t="s">
        <v>7</v>
      </c>
    </row>
    <row r="2" spans="1:105" x14ac:dyDescent="0.45">
      <c r="A2" t="s">
        <v>1</v>
      </c>
      <c r="B2">
        <v>9.4</v>
      </c>
      <c r="F2">
        <v>1</v>
      </c>
      <c r="G2">
        <v>1</v>
      </c>
      <c r="H2">
        <v>3</v>
      </c>
      <c r="I2">
        <v>2</v>
      </c>
      <c r="J2">
        <v>7</v>
      </c>
      <c r="K2">
        <v>2</v>
      </c>
      <c r="L2">
        <v>2</v>
      </c>
      <c r="M2">
        <v>2</v>
      </c>
      <c r="N2">
        <v>3</v>
      </c>
      <c r="O2">
        <v>4</v>
      </c>
      <c r="P2">
        <v>1</v>
      </c>
      <c r="Q2">
        <v>1</v>
      </c>
      <c r="R2">
        <v>4</v>
      </c>
      <c r="S2">
        <v>3</v>
      </c>
      <c r="T2">
        <v>3</v>
      </c>
      <c r="U2">
        <v>2</v>
      </c>
      <c r="V2">
        <v>3</v>
      </c>
      <c r="W2">
        <v>6</v>
      </c>
      <c r="X2">
        <v>3</v>
      </c>
      <c r="Y2">
        <v>4</v>
      </c>
      <c r="Z2">
        <v>3</v>
      </c>
      <c r="AA2">
        <v>3</v>
      </c>
      <c r="AB2">
        <v>3</v>
      </c>
      <c r="AC2">
        <v>3</v>
      </c>
      <c r="AD2">
        <v>6</v>
      </c>
      <c r="AE2">
        <v>2</v>
      </c>
      <c r="AF2">
        <v>2</v>
      </c>
      <c r="AG2">
        <v>1</v>
      </c>
      <c r="AH2">
        <v>3</v>
      </c>
      <c r="AI2">
        <v>3</v>
      </c>
      <c r="AJ2">
        <v>1</v>
      </c>
      <c r="AK2">
        <v>2</v>
      </c>
      <c r="AL2">
        <v>2</v>
      </c>
      <c r="AM2">
        <v>3</v>
      </c>
      <c r="AN2">
        <v>5</v>
      </c>
      <c r="AO2">
        <v>2</v>
      </c>
      <c r="AP2">
        <v>1</v>
      </c>
      <c r="AQ2">
        <v>3</v>
      </c>
      <c r="AR2">
        <v>1</v>
      </c>
      <c r="AS2">
        <v>2</v>
      </c>
      <c r="AT2">
        <v>5</v>
      </c>
      <c r="AU2">
        <v>6</v>
      </c>
      <c r="AV2">
        <v>3</v>
      </c>
      <c r="AW2">
        <v>2</v>
      </c>
      <c r="AX2">
        <v>1</v>
      </c>
      <c r="AY2">
        <v>3</v>
      </c>
      <c r="AZ2">
        <v>2</v>
      </c>
      <c r="BA2">
        <v>4</v>
      </c>
      <c r="BB2">
        <v>1</v>
      </c>
      <c r="BC2">
        <v>2</v>
      </c>
      <c r="BD2">
        <v>1</v>
      </c>
      <c r="BE2">
        <v>3</v>
      </c>
      <c r="BF2">
        <v>2</v>
      </c>
      <c r="BG2">
        <v>3</v>
      </c>
      <c r="BH2">
        <v>4</v>
      </c>
      <c r="BI2">
        <v>2</v>
      </c>
      <c r="BJ2">
        <v>3</v>
      </c>
      <c r="BK2">
        <v>5</v>
      </c>
      <c r="BL2">
        <v>4</v>
      </c>
      <c r="BM2">
        <v>4</v>
      </c>
      <c r="BN2">
        <v>2</v>
      </c>
      <c r="BO2">
        <v>3</v>
      </c>
      <c r="BP2">
        <v>6</v>
      </c>
      <c r="BQ2">
        <v>1</v>
      </c>
      <c r="BR2">
        <v>1</v>
      </c>
      <c r="BS2">
        <v>2</v>
      </c>
      <c r="BT2">
        <v>1</v>
      </c>
      <c r="BU2">
        <v>3</v>
      </c>
      <c r="BV2">
        <v>3</v>
      </c>
      <c r="BW2">
        <v>2</v>
      </c>
      <c r="BX2">
        <v>4</v>
      </c>
      <c r="BY2">
        <v>3</v>
      </c>
      <c r="BZ2">
        <v>1</v>
      </c>
      <c r="CA2">
        <v>3</v>
      </c>
      <c r="CB2">
        <v>1</v>
      </c>
      <c r="CC2">
        <v>2</v>
      </c>
      <c r="CD2">
        <v>2</v>
      </c>
      <c r="CE2">
        <v>3</v>
      </c>
      <c r="CF2">
        <v>2</v>
      </c>
      <c r="CG2">
        <v>3</v>
      </c>
      <c r="CH2">
        <v>3</v>
      </c>
      <c r="CI2">
        <v>3</v>
      </c>
      <c r="CJ2">
        <v>4</v>
      </c>
      <c r="CK2">
        <v>4</v>
      </c>
      <c r="CL2">
        <v>1</v>
      </c>
      <c r="CM2">
        <v>3</v>
      </c>
      <c r="CN2">
        <v>2</v>
      </c>
      <c r="CO2">
        <v>3</v>
      </c>
      <c r="CP2">
        <v>2</v>
      </c>
      <c r="CQ2">
        <v>5</v>
      </c>
      <c r="CR2">
        <v>3</v>
      </c>
      <c r="CS2">
        <v>1</v>
      </c>
      <c r="CT2">
        <v>2</v>
      </c>
      <c r="CU2">
        <v>4</v>
      </c>
      <c r="CV2">
        <v>2</v>
      </c>
      <c r="CW2">
        <v>5</v>
      </c>
      <c r="CX2">
        <v>1</v>
      </c>
      <c r="CY2">
        <v>1</v>
      </c>
      <c r="CZ2">
        <v>2</v>
      </c>
      <c r="DA2">
        <v>5</v>
      </c>
    </row>
    <row r="3" spans="1:105" x14ac:dyDescent="0.45">
      <c r="A3" t="s">
        <v>2</v>
      </c>
      <c r="B3">
        <v>1</v>
      </c>
      <c r="F3">
        <v>3</v>
      </c>
      <c r="G3">
        <v>3</v>
      </c>
      <c r="H3">
        <v>9</v>
      </c>
      <c r="I3">
        <v>5</v>
      </c>
      <c r="J3">
        <v>1</v>
      </c>
      <c r="K3">
        <v>5</v>
      </c>
      <c r="L3">
        <v>0</v>
      </c>
      <c r="M3">
        <v>1</v>
      </c>
      <c r="N3">
        <v>3</v>
      </c>
      <c r="O3">
        <v>4</v>
      </c>
      <c r="P3">
        <v>1</v>
      </c>
      <c r="Q3">
        <v>2</v>
      </c>
      <c r="R3">
        <v>3</v>
      </c>
      <c r="S3">
        <v>1</v>
      </c>
      <c r="T3">
        <v>5</v>
      </c>
      <c r="U3">
        <v>2</v>
      </c>
      <c r="V3">
        <v>2</v>
      </c>
      <c r="W3">
        <v>3</v>
      </c>
      <c r="X3">
        <v>6</v>
      </c>
      <c r="Y3">
        <v>4</v>
      </c>
      <c r="Z3">
        <v>5</v>
      </c>
      <c r="AA3">
        <v>2</v>
      </c>
      <c r="AB3">
        <v>3</v>
      </c>
      <c r="AC3">
        <v>4</v>
      </c>
      <c r="AD3">
        <v>0</v>
      </c>
      <c r="AE3">
        <v>3</v>
      </c>
      <c r="AF3">
        <v>2</v>
      </c>
      <c r="AG3">
        <v>2</v>
      </c>
      <c r="AH3">
        <v>1</v>
      </c>
      <c r="AI3">
        <v>2</v>
      </c>
      <c r="AJ3">
        <v>6</v>
      </c>
      <c r="AK3">
        <v>3</v>
      </c>
      <c r="AL3">
        <v>3</v>
      </c>
      <c r="AM3">
        <v>1</v>
      </c>
      <c r="AN3">
        <v>4</v>
      </c>
      <c r="AO3">
        <v>5</v>
      </c>
      <c r="AP3">
        <v>1</v>
      </c>
      <c r="AQ3">
        <v>4</v>
      </c>
      <c r="AR3">
        <v>1</v>
      </c>
      <c r="AS3">
        <v>4</v>
      </c>
      <c r="AT3">
        <v>4</v>
      </c>
      <c r="AU3">
        <v>2</v>
      </c>
      <c r="AV3">
        <v>5</v>
      </c>
      <c r="AW3">
        <v>4</v>
      </c>
      <c r="AX3">
        <v>6</v>
      </c>
      <c r="AY3">
        <v>3</v>
      </c>
      <c r="AZ3">
        <v>4</v>
      </c>
      <c r="BA3">
        <v>5</v>
      </c>
      <c r="BB3">
        <v>4</v>
      </c>
      <c r="BC3">
        <v>0</v>
      </c>
      <c r="BD3">
        <v>7</v>
      </c>
      <c r="BE3">
        <v>5</v>
      </c>
      <c r="BF3">
        <v>3</v>
      </c>
      <c r="BG3">
        <v>1</v>
      </c>
      <c r="BH3">
        <v>5</v>
      </c>
      <c r="BI3">
        <v>3</v>
      </c>
      <c r="BJ3">
        <v>2</v>
      </c>
      <c r="BK3">
        <v>6</v>
      </c>
      <c r="BL3">
        <v>3</v>
      </c>
      <c r="BM3">
        <v>6</v>
      </c>
      <c r="BN3">
        <v>4</v>
      </c>
      <c r="BO3">
        <v>0</v>
      </c>
      <c r="BP3">
        <v>4</v>
      </c>
      <c r="BQ3">
        <v>3</v>
      </c>
      <c r="BR3">
        <v>2</v>
      </c>
      <c r="BS3">
        <v>5</v>
      </c>
      <c r="BT3">
        <v>3</v>
      </c>
      <c r="BU3">
        <v>5</v>
      </c>
      <c r="BV3">
        <v>2</v>
      </c>
      <c r="BW3">
        <v>5</v>
      </c>
      <c r="BX3">
        <v>3</v>
      </c>
      <c r="BY3">
        <v>3</v>
      </c>
      <c r="BZ3">
        <v>2</v>
      </c>
      <c r="CA3">
        <v>4</v>
      </c>
      <c r="CB3">
        <v>3</v>
      </c>
      <c r="CC3">
        <v>3</v>
      </c>
      <c r="CD3">
        <v>0</v>
      </c>
      <c r="CE3">
        <v>4</v>
      </c>
      <c r="CF3">
        <v>4</v>
      </c>
      <c r="CG3">
        <v>4</v>
      </c>
      <c r="CH3">
        <v>3</v>
      </c>
      <c r="CI3">
        <v>3</v>
      </c>
      <c r="CJ3">
        <v>4</v>
      </c>
      <c r="CK3">
        <v>2</v>
      </c>
      <c r="CL3">
        <v>3</v>
      </c>
      <c r="CM3">
        <v>3</v>
      </c>
      <c r="CN3">
        <v>10</v>
      </c>
      <c r="CO3">
        <v>5</v>
      </c>
      <c r="CP3">
        <v>2</v>
      </c>
      <c r="CQ3">
        <v>3</v>
      </c>
      <c r="CR3">
        <v>3</v>
      </c>
      <c r="CS3">
        <v>4</v>
      </c>
      <c r="CT3">
        <v>2</v>
      </c>
      <c r="CU3">
        <v>5</v>
      </c>
      <c r="CV3">
        <v>4</v>
      </c>
      <c r="CW3">
        <v>3</v>
      </c>
      <c r="CX3">
        <v>2</v>
      </c>
      <c r="CY3">
        <v>3</v>
      </c>
      <c r="CZ3">
        <v>5</v>
      </c>
      <c r="DA3">
        <v>2</v>
      </c>
    </row>
    <row r="4" spans="1:105" x14ac:dyDescent="0.45">
      <c r="A4" t="s">
        <v>3</v>
      </c>
      <c r="B4">
        <v>81</v>
      </c>
      <c r="F4">
        <v>3</v>
      </c>
      <c r="G4">
        <v>4</v>
      </c>
      <c r="H4">
        <v>2</v>
      </c>
      <c r="I4">
        <v>2</v>
      </c>
      <c r="J4">
        <v>1</v>
      </c>
      <c r="K4">
        <v>0</v>
      </c>
      <c r="L4">
        <v>4</v>
      </c>
      <c r="M4">
        <v>1</v>
      </c>
      <c r="N4">
        <v>5</v>
      </c>
      <c r="O4">
        <v>2</v>
      </c>
      <c r="P4">
        <v>2</v>
      </c>
      <c r="Q4">
        <v>2</v>
      </c>
      <c r="R4">
        <v>1</v>
      </c>
      <c r="S4">
        <v>2</v>
      </c>
      <c r="T4">
        <v>4</v>
      </c>
      <c r="U4">
        <v>3</v>
      </c>
      <c r="V4">
        <v>4</v>
      </c>
      <c r="W4">
        <v>3</v>
      </c>
      <c r="X4">
        <v>3</v>
      </c>
      <c r="Y4">
        <v>2</v>
      </c>
      <c r="Z4">
        <v>1</v>
      </c>
      <c r="AA4">
        <v>3</v>
      </c>
      <c r="AB4">
        <v>2</v>
      </c>
      <c r="AC4">
        <v>7</v>
      </c>
      <c r="AD4">
        <v>3</v>
      </c>
      <c r="AE4">
        <v>3</v>
      </c>
      <c r="AF4">
        <v>1</v>
      </c>
      <c r="AG4">
        <v>3</v>
      </c>
      <c r="AH4">
        <v>6</v>
      </c>
      <c r="AI4">
        <v>3</v>
      </c>
      <c r="AJ4">
        <v>3</v>
      </c>
      <c r="AK4">
        <v>3</v>
      </c>
      <c r="AL4">
        <v>2</v>
      </c>
      <c r="AM4">
        <v>3</v>
      </c>
      <c r="AN4">
        <v>4</v>
      </c>
      <c r="AO4">
        <v>2</v>
      </c>
      <c r="AP4">
        <v>5</v>
      </c>
      <c r="AQ4">
        <v>0</v>
      </c>
      <c r="AR4">
        <v>2</v>
      </c>
      <c r="AS4">
        <v>3</v>
      </c>
      <c r="AT4">
        <v>4</v>
      </c>
      <c r="AU4">
        <v>4</v>
      </c>
      <c r="AV4">
        <v>6</v>
      </c>
      <c r="AW4">
        <v>0</v>
      </c>
      <c r="AX4">
        <v>6</v>
      </c>
      <c r="AY4">
        <v>4</v>
      </c>
      <c r="AZ4">
        <v>4</v>
      </c>
      <c r="BA4">
        <v>4</v>
      </c>
      <c r="BB4">
        <v>2</v>
      </c>
      <c r="BC4">
        <v>1</v>
      </c>
      <c r="BD4">
        <v>4</v>
      </c>
      <c r="BE4">
        <v>4</v>
      </c>
      <c r="BF4">
        <v>3</v>
      </c>
      <c r="BG4">
        <v>2</v>
      </c>
      <c r="BH4">
        <v>1</v>
      </c>
      <c r="BI4">
        <v>6</v>
      </c>
      <c r="BJ4">
        <v>5</v>
      </c>
      <c r="BK4">
        <v>2</v>
      </c>
      <c r="BL4">
        <v>3</v>
      </c>
      <c r="BM4">
        <v>2</v>
      </c>
      <c r="BN4">
        <v>3</v>
      </c>
      <c r="BO4">
        <v>6</v>
      </c>
      <c r="BP4">
        <v>3</v>
      </c>
      <c r="BQ4">
        <v>1</v>
      </c>
      <c r="BR4">
        <v>2</v>
      </c>
      <c r="BS4">
        <v>0</v>
      </c>
      <c r="BT4">
        <v>2</v>
      </c>
      <c r="BU4">
        <v>3</v>
      </c>
      <c r="BV4">
        <v>8</v>
      </c>
      <c r="BW4">
        <v>5</v>
      </c>
      <c r="BX4">
        <v>4</v>
      </c>
      <c r="BY4">
        <v>3</v>
      </c>
      <c r="BZ4">
        <v>1</v>
      </c>
      <c r="CA4">
        <v>4</v>
      </c>
      <c r="CB4">
        <v>3</v>
      </c>
      <c r="CC4">
        <v>6</v>
      </c>
      <c r="CD4">
        <v>6</v>
      </c>
      <c r="CE4">
        <v>4</v>
      </c>
      <c r="CF4">
        <v>1</v>
      </c>
      <c r="CG4">
        <v>2</v>
      </c>
      <c r="CH4">
        <v>1</v>
      </c>
      <c r="CI4">
        <v>0</v>
      </c>
      <c r="CJ4">
        <v>4</v>
      </c>
      <c r="CK4">
        <v>7</v>
      </c>
      <c r="CL4">
        <v>2</v>
      </c>
      <c r="CM4">
        <v>2</v>
      </c>
      <c r="CN4">
        <v>3</v>
      </c>
      <c r="CO4">
        <v>6</v>
      </c>
      <c r="CP4">
        <v>1</v>
      </c>
      <c r="CQ4">
        <v>4</v>
      </c>
      <c r="CR4">
        <v>1</v>
      </c>
      <c r="CS4">
        <v>4</v>
      </c>
      <c r="CT4">
        <v>6</v>
      </c>
      <c r="CU4">
        <v>4</v>
      </c>
      <c r="CV4">
        <v>3</v>
      </c>
      <c r="CW4">
        <v>5</v>
      </c>
      <c r="CX4">
        <v>2</v>
      </c>
      <c r="CY4">
        <v>2</v>
      </c>
      <c r="CZ4">
        <v>2</v>
      </c>
      <c r="DA4">
        <v>7</v>
      </c>
    </row>
    <row r="5" spans="1:105" x14ac:dyDescent="0.45">
      <c r="F5">
        <v>1</v>
      </c>
      <c r="G5">
        <v>1</v>
      </c>
      <c r="H5">
        <v>1</v>
      </c>
      <c r="I5">
        <v>2</v>
      </c>
      <c r="J5">
        <v>1</v>
      </c>
      <c r="K5">
        <v>3</v>
      </c>
      <c r="L5">
        <v>4</v>
      </c>
      <c r="M5">
        <v>1</v>
      </c>
      <c r="N5">
        <v>3</v>
      </c>
      <c r="O5">
        <v>2</v>
      </c>
      <c r="P5">
        <v>1</v>
      </c>
      <c r="Q5">
        <v>5</v>
      </c>
      <c r="R5">
        <v>4</v>
      </c>
      <c r="S5">
        <v>4</v>
      </c>
      <c r="T5">
        <v>4</v>
      </c>
      <c r="U5">
        <v>3</v>
      </c>
      <c r="V5">
        <v>2</v>
      </c>
      <c r="W5">
        <v>4</v>
      </c>
      <c r="X5">
        <v>6</v>
      </c>
      <c r="Y5">
        <v>0</v>
      </c>
      <c r="Z5">
        <v>3</v>
      </c>
      <c r="AA5">
        <v>2</v>
      </c>
      <c r="AB5">
        <v>1</v>
      </c>
      <c r="AC5">
        <v>3</v>
      </c>
      <c r="AD5">
        <v>6</v>
      </c>
      <c r="AE5">
        <v>4</v>
      </c>
      <c r="AF5">
        <v>5</v>
      </c>
      <c r="AG5">
        <v>0</v>
      </c>
      <c r="AH5">
        <v>1</v>
      </c>
      <c r="AI5">
        <v>1</v>
      </c>
      <c r="AJ5">
        <v>3</v>
      </c>
      <c r="AK5">
        <v>4</v>
      </c>
      <c r="AL5">
        <v>6</v>
      </c>
      <c r="AM5">
        <v>1</v>
      </c>
      <c r="AN5">
        <v>3</v>
      </c>
      <c r="AO5">
        <v>3</v>
      </c>
      <c r="AP5">
        <v>3</v>
      </c>
      <c r="AQ5">
        <v>5</v>
      </c>
      <c r="AR5">
        <v>3</v>
      </c>
      <c r="AS5">
        <v>4</v>
      </c>
      <c r="AT5">
        <v>3</v>
      </c>
      <c r="AU5">
        <v>4</v>
      </c>
      <c r="AV5">
        <v>3</v>
      </c>
      <c r="AW5">
        <v>3</v>
      </c>
      <c r="AX5">
        <v>4</v>
      </c>
      <c r="AY5">
        <v>6</v>
      </c>
      <c r="AZ5">
        <v>2</v>
      </c>
      <c r="BA5">
        <v>3</v>
      </c>
      <c r="BB5">
        <v>3</v>
      </c>
      <c r="BC5">
        <v>2</v>
      </c>
      <c r="BD5">
        <v>1</v>
      </c>
      <c r="BE5">
        <v>1</v>
      </c>
      <c r="BF5">
        <v>0</v>
      </c>
      <c r="BG5">
        <v>2</v>
      </c>
      <c r="BH5">
        <v>6</v>
      </c>
      <c r="BI5">
        <v>2</v>
      </c>
      <c r="BJ5">
        <v>6</v>
      </c>
      <c r="BK5">
        <v>3</v>
      </c>
      <c r="BL5">
        <v>3</v>
      </c>
      <c r="BM5">
        <v>2</v>
      </c>
      <c r="BN5">
        <v>4</v>
      </c>
      <c r="BO5">
        <v>2</v>
      </c>
      <c r="BP5">
        <v>1</v>
      </c>
      <c r="BQ5">
        <v>2</v>
      </c>
      <c r="BR5">
        <v>7</v>
      </c>
      <c r="BS5">
        <v>5</v>
      </c>
      <c r="BT5">
        <v>2</v>
      </c>
      <c r="BU5">
        <v>1</v>
      </c>
      <c r="BV5">
        <v>3</v>
      </c>
      <c r="BW5">
        <v>4</v>
      </c>
      <c r="BX5">
        <v>2</v>
      </c>
      <c r="BY5">
        <v>6</v>
      </c>
      <c r="BZ5">
        <v>1</v>
      </c>
      <c r="CA5">
        <v>5</v>
      </c>
      <c r="CB5">
        <v>4</v>
      </c>
      <c r="CC5">
        <v>4</v>
      </c>
      <c r="CD5">
        <v>4</v>
      </c>
      <c r="CE5">
        <v>3</v>
      </c>
      <c r="CF5">
        <v>2</v>
      </c>
      <c r="CG5">
        <v>2</v>
      </c>
      <c r="CH5">
        <v>4</v>
      </c>
      <c r="CI5">
        <v>2</v>
      </c>
      <c r="CJ5">
        <v>1</v>
      </c>
      <c r="CK5">
        <v>2</v>
      </c>
      <c r="CL5">
        <v>5</v>
      </c>
      <c r="CM5">
        <v>2</v>
      </c>
      <c r="CN5">
        <v>1</v>
      </c>
      <c r="CO5">
        <v>3</v>
      </c>
      <c r="CP5">
        <v>4</v>
      </c>
      <c r="CQ5">
        <v>5</v>
      </c>
      <c r="CR5">
        <v>2</v>
      </c>
      <c r="CS5">
        <v>0</v>
      </c>
      <c r="CT5">
        <v>5</v>
      </c>
      <c r="CU5">
        <v>2</v>
      </c>
      <c r="CV5">
        <v>3</v>
      </c>
      <c r="CW5">
        <v>6</v>
      </c>
      <c r="CX5">
        <v>2</v>
      </c>
      <c r="CY5">
        <v>1</v>
      </c>
      <c r="CZ5">
        <v>5</v>
      </c>
      <c r="DA5">
        <v>2</v>
      </c>
    </row>
    <row r="6" spans="1:105" x14ac:dyDescent="0.45">
      <c r="A6" t="s">
        <v>4</v>
      </c>
      <c r="B6">
        <f>B2</f>
        <v>9.4</v>
      </c>
      <c r="F6">
        <v>5</v>
      </c>
      <c r="G6">
        <v>3</v>
      </c>
      <c r="H6">
        <v>1</v>
      </c>
      <c r="I6">
        <v>4</v>
      </c>
      <c r="J6">
        <v>5</v>
      </c>
      <c r="K6">
        <v>6</v>
      </c>
      <c r="L6">
        <v>4</v>
      </c>
      <c r="M6">
        <v>0</v>
      </c>
      <c r="N6">
        <v>5</v>
      </c>
      <c r="O6">
        <v>1</v>
      </c>
      <c r="P6">
        <v>2</v>
      </c>
      <c r="Q6">
        <v>4</v>
      </c>
      <c r="R6">
        <v>3</v>
      </c>
      <c r="S6">
        <v>3</v>
      </c>
      <c r="T6">
        <v>3</v>
      </c>
      <c r="U6">
        <v>5</v>
      </c>
      <c r="V6">
        <v>2</v>
      </c>
      <c r="W6">
        <v>3</v>
      </c>
      <c r="X6">
        <v>1</v>
      </c>
      <c r="Y6">
        <v>4</v>
      </c>
      <c r="Z6">
        <v>2</v>
      </c>
      <c r="AA6">
        <v>4</v>
      </c>
      <c r="AB6">
        <v>1</v>
      </c>
      <c r="AC6">
        <v>3</v>
      </c>
      <c r="AD6">
        <v>4</v>
      </c>
      <c r="AE6">
        <v>2</v>
      </c>
      <c r="AF6">
        <v>2</v>
      </c>
      <c r="AG6">
        <v>3</v>
      </c>
      <c r="AH6">
        <v>5</v>
      </c>
      <c r="AI6">
        <v>2</v>
      </c>
      <c r="AJ6">
        <v>1</v>
      </c>
      <c r="AK6">
        <v>3</v>
      </c>
      <c r="AL6">
        <v>5</v>
      </c>
      <c r="AM6">
        <v>3</v>
      </c>
      <c r="AN6">
        <v>2</v>
      </c>
      <c r="AO6">
        <v>2</v>
      </c>
      <c r="AP6">
        <v>1</v>
      </c>
      <c r="AQ6">
        <v>3</v>
      </c>
      <c r="AR6">
        <v>4</v>
      </c>
      <c r="AS6">
        <v>6</v>
      </c>
      <c r="AT6">
        <v>3</v>
      </c>
      <c r="AU6">
        <v>2</v>
      </c>
      <c r="AV6">
        <v>4</v>
      </c>
      <c r="AW6">
        <v>1</v>
      </c>
      <c r="AX6">
        <v>2</v>
      </c>
      <c r="AY6">
        <v>1</v>
      </c>
      <c r="AZ6">
        <v>4</v>
      </c>
      <c r="BA6">
        <v>3</v>
      </c>
      <c r="BB6">
        <v>5</v>
      </c>
      <c r="BC6">
        <v>3</v>
      </c>
      <c r="BD6">
        <v>2</v>
      </c>
      <c r="BE6">
        <v>1</v>
      </c>
      <c r="BF6">
        <v>5</v>
      </c>
      <c r="BG6">
        <v>4</v>
      </c>
      <c r="BH6">
        <v>2</v>
      </c>
      <c r="BI6">
        <v>2</v>
      </c>
      <c r="BJ6">
        <v>2</v>
      </c>
      <c r="BK6">
        <v>1</v>
      </c>
      <c r="BL6">
        <v>2</v>
      </c>
      <c r="BM6">
        <v>3</v>
      </c>
      <c r="BN6">
        <v>0</v>
      </c>
      <c r="BO6">
        <v>3</v>
      </c>
      <c r="BP6">
        <v>7</v>
      </c>
      <c r="BQ6">
        <v>5</v>
      </c>
      <c r="BR6">
        <v>5</v>
      </c>
      <c r="BS6">
        <v>3</v>
      </c>
      <c r="BT6">
        <v>0</v>
      </c>
      <c r="BU6">
        <v>2</v>
      </c>
      <c r="BV6">
        <v>1</v>
      </c>
      <c r="BW6">
        <v>4</v>
      </c>
      <c r="BX6">
        <v>3</v>
      </c>
      <c r="BY6">
        <v>3</v>
      </c>
      <c r="BZ6">
        <v>2</v>
      </c>
      <c r="CA6">
        <v>3</v>
      </c>
      <c r="CB6">
        <v>4</v>
      </c>
      <c r="CC6">
        <v>2</v>
      </c>
      <c r="CD6">
        <v>3</v>
      </c>
      <c r="CE6">
        <v>3</v>
      </c>
      <c r="CF6">
        <v>2</v>
      </c>
      <c r="CG6">
        <v>3</v>
      </c>
      <c r="CH6">
        <v>4</v>
      </c>
      <c r="CI6">
        <v>3</v>
      </c>
      <c r="CJ6">
        <v>2</v>
      </c>
      <c r="CK6">
        <v>2</v>
      </c>
      <c r="CL6">
        <v>6</v>
      </c>
      <c r="CM6">
        <v>4</v>
      </c>
      <c r="CN6">
        <v>2</v>
      </c>
      <c r="CO6">
        <v>4</v>
      </c>
      <c r="CP6">
        <v>1</v>
      </c>
      <c r="CQ6">
        <v>1</v>
      </c>
      <c r="CR6">
        <v>3</v>
      </c>
      <c r="CS6">
        <v>1</v>
      </c>
      <c r="CT6">
        <v>4</v>
      </c>
      <c r="CU6">
        <v>3</v>
      </c>
      <c r="CV6">
        <v>1</v>
      </c>
      <c r="CW6">
        <v>6</v>
      </c>
      <c r="CX6">
        <v>2</v>
      </c>
      <c r="CY6">
        <v>6</v>
      </c>
      <c r="CZ6">
        <v>2</v>
      </c>
      <c r="DA6">
        <v>3</v>
      </c>
    </row>
    <row r="7" spans="1:105" x14ac:dyDescent="0.45">
      <c r="A7" t="s">
        <v>5</v>
      </c>
      <c r="B7">
        <f>1 / SQRT(B4)</f>
        <v>0.1111111111111111</v>
      </c>
      <c r="F7">
        <v>4</v>
      </c>
      <c r="G7">
        <v>1</v>
      </c>
      <c r="H7">
        <v>4</v>
      </c>
      <c r="I7">
        <v>2</v>
      </c>
      <c r="J7">
        <v>6</v>
      </c>
      <c r="K7">
        <v>2</v>
      </c>
      <c r="L7">
        <v>2</v>
      </c>
      <c r="M7">
        <v>3</v>
      </c>
      <c r="N7">
        <v>3</v>
      </c>
      <c r="O7">
        <v>1</v>
      </c>
      <c r="P7">
        <v>2</v>
      </c>
      <c r="Q7">
        <v>3</v>
      </c>
      <c r="R7">
        <v>3</v>
      </c>
      <c r="S7">
        <v>0</v>
      </c>
      <c r="T7">
        <v>4</v>
      </c>
      <c r="U7">
        <v>1</v>
      </c>
      <c r="V7">
        <v>6</v>
      </c>
      <c r="W7">
        <v>0</v>
      </c>
      <c r="X7">
        <v>2</v>
      </c>
      <c r="Y7">
        <v>4</v>
      </c>
      <c r="Z7">
        <v>1</v>
      </c>
      <c r="AA7">
        <v>2</v>
      </c>
      <c r="AB7">
        <v>4</v>
      </c>
      <c r="AC7">
        <v>4</v>
      </c>
      <c r="AD7">
        <v>4</v>
      </c>
      <c r="AE7">
        <v>3</v>
      </c>
      <c r="AF7">
        <v>2</v>
      </c>
      <c r="AG7">
        <v>1</v>
      </c>
      <c r="AH7">
        <v>1</v>
      </c>
      <c r="AI7">
        <v>2</v>
      </c>
      <c r="AJ7">
        <v>4</v>
      </c>
      <c r="AK7">
        <v>6</v>
      </c>
      <c r="AL7">
        <v>5</v>
      </c>
      <c r="AM7">
        <v>3</v>
      </c>
      <c r="AN7">
        <v>4</v>
      </c>
      <c r="AO7">
        <v>4</v>
      </c>
      <c r="AP7">
        <v>2</v>
      </c>
      <c r="AQ7">
        <v>4</v>
      </c>
      <c r="AR7">
        <v>6</v>
      </c>
      <c r="AS7">
        <v>2</v>
      </c>
      <c r="AT7">
        <v>1</v>
      </c>
      <c r="AU7">
        <v>4</v>
      </c>
      <c r="AV7">
        <v>5</v>
      </c>
      <c r="AW7">
        <v>1</v>
      </c>
      <c r="AX7">
        <v>3</v>
      </c>
      <c r="AY7">
        <v>2</v>
      </c>
      <c r="AZ7">
        <v>3</v>
      </c>
      <c r="BA7">
        <v>3</v>
      </c>
      <c r="BB7">
        <v>1</v>
      </c>
      <c r="BC7">
        <v>1</v>
      </c>
      <c r="BD7">
        <v>4</v>
      </c>
      <c r="BE7">
        <v>3</v>
      </c>
      <c r="BF7">
        <v>1</v>
      </c>
      <c r="BG7">
        <v>3</v>
      </c>
      <c r="BH7">
        <v>3</v>
      </c>
      <c r="BI7">
        <v>2</v>
      </c>
      <c r="BJ7">
        <v>2</v>
      </c>
      <c r="BK7">
        <v>2</v>
      </c>
      <c r="BL7">
        <v>3</v>
      </c>
      <c r="BM7">
        <v>2</v>
      </c>
      <c r="BN7">
        <v>4</v>
      </c>
      <c r="BO7">
        <v>4</v>
      </c>
      <c r="BP7">
        <v>2</v>
      </c>
      <c r="BQ7">
        <v>1</v>
      </c>
      <c r="BR7">
        <v>5</v>
      </c>
      <c r="BS7">
        <v>3</v>
      </c>
      <c r="BT7">
        <v>2</v>
      </c>
      <c r="BU7">
        <v>1</v>
      </c>
      <c r="BV7">
        <v>1</v>
      </c>
      <c r="BW7">
        <v>10</v>
      </c>
      <c r="BX7">
        <v>5</v>
      </c>
      <c r="BY7">
        <v>4</v>
      </c>
      <c r="BZ7">
        <v>2</v>
      </c>
      <c r="CA7">
        <v>5</v>
      </c>
      <c r="CB7">
        <v>3</v>
      </c>
      <c r="CC7">
        <v>6</v>
      </c>
      <c r="CD7">
        <v>6</v>
      </c>
      <c r="CE7">
        <v>3</v>
      </c>
      <c r="CF7">
        <v>4</v>
      </c>
      <c r="CG7">
        <v>4</v>
      </c>
      <c r="CH7">
        <v>4</v>
      </c>
      <c r="CI7">
        <v>1</v>
      </c>
      <c r="CJ7">
        <v>2</v>
      </c>
      <c r="CK7">
        <v>3</v>
      </c>
      <c r="CL7">
        <v>2</v>
      </c>
      <c r="CM7">
        <v>4</v>
      </c>
      <c r="CN7">
        <v>6</v>
      </c>
      <c r="CO7">
        <v>6</v>
      </c>
      <c r="CP7">
        <v>3</v>
      </c>
      <c r="CQ7">
        <v>6</v>
      </c>
      <c r="CR7">
        <v>2</v>
      </c>
      <c r="CS7">
        <v>4</v>
      </c>
      <c r="CT7">
        <v>3</v>
      </c>
      <c r="CU7">
        <v>3</v>
      </c>
      <c r="CV7">
        <v>2</v>
      </c>
      <c r="CW7">
        <v>2</v>
      </c>
      <c r="CX7">
        <v>3</v>
      </c>
      <c r="CY7">
        <v>3</v>
      </c>
      <c r="CZ7">
        <v>2</v>
      </c>
      <c r="DA7">
        <v>3</v>
      </c>
    </row>
    <row r="8" spans="1:105" x14ac:dyDescent="0.45">
      <c r="F8">
        <v>1</v>
      </c>
      <c r="G8">
        <v>3</v>
      </c>
      <c r="H8">
        <v>5</v>
      </c>
      <c r="I8">
        <v>2</v>
      </c>
      <c r="J8">
        <v>1</v>
      </c>
      <c r="K8">
        <v>1</v>
      </c>
      <c r="L8">
        <v>1</v>
      </c>
      <c r="M8">
        <v>3</v>
      </c>
      <c r="N8">
        <v>5</v>
      </c>
      <c r="O8">
        <v>5</v>
      </c>
      <c r="P8">
        <v>3</v>
      </c>
      <c r="Q8">
        <v>2</v>
      </c>
      <c r="R8">
        <v>1</v>
      </c>
      <c r="S8">
        <v>4</v>
      </c>
      <c r="T8">
        <v>3</v>
      </c>
      <c r="U8">
        <v>0</v>
      </c>
      <c r="V8">
        <v>2</v>
      </c>
      <c r="W8">
        <v>2</v>
      </c>
      <c r="X8">
        <v>6</v>
      </c>
      <c r="Y8">
        <v>2</v>
      </c>
      <c r="Z8">
        <v>3</v>
      </c>
      <c r="AA8">
        <v>2</v>
      </c>
      <c r="AB8">
        <v>3</v>
      </c>
      <c r="AC8">
        <v>1</v>
      </c>
      <c r="AD8">
        <v>5</v>
      </c>
      <c r="AE8">
        <v>5</v>
      </c>
      <c r="AF8">
        <v>5</v>
      </c>
      <c r="AG8">
        <v>3</v>
      </c>
      <c r="AH8">
        <v>2</v>
      </c>
      <c r="AI8">
        <v>2</v>
      </c>
      <c r="AJ8">
        <v>2</v>
      </c>
      <c r="AK8">
        <v>3</v>
      </c>
      <c r="AL8">
        <v>2</v>
      </c>
      <c r="AM8">
        <v>3</v>
      </c>
      <c r="AN8">
        <v>4</v>
      </c>
      <c r="AO8">
        <v>1</v>
      </c>
      <c r="AP8">
        <v>0</v>
      </c>
      <c r="AQ8">
        <v>1</v>
      </c>
      <c r="AR8">
        <v>1</v>
      </c>
      <c r="AS8">
        <v>1</v>
      </c>
      <c r="AT8">
        <v>1</v>
      </c>
      <c r="AU8">
        <v>2</v>
      </c>
      <c r="AV8">
        <v>3</v>
      </c>
      <c r="AW8">
        <v>4</v>
      </c>
      <c r="AX8">
        <v>3</v>
      </c>
      <c r="AY8">
        <v>1</v>
      </c>
      <c r="AZ8">
        <v>9</v>
      </c>
      <c r="BA8">
        <v>3</v>
      </c>
      <c r="BB8">
        <v>1</v>
      </c>
      <c r="BC8">
        <v>5</v>
      </c>
      <c r="BD8">
        <v>3</v>
      </c>
      <c r="BE8">
        <v>4</v>
      </c>
      <c r="BF8">
        <v>3</v>
      </c>
      <c r="BG8">
        <v>3</v>
      </c>
      <c r="BH8">
        <v>3</v>
      </c>
      <c r="BI8">
        <v>4</v>
      </c>
      <c r="BJ8">
        <v>3</v>
      </c>
      <c r="BK8">
        <v>6</v>
      </c>
      <c r="BL8">
        <v>1</v>
      </c>
      <c r="BM8">
        <v>4</v>
      </c>
      <c r="BN8">
        <v>2</v>
      </c>
      <c r="BO8">
        <v>1</v>
      </c>
      <c r="BP8">
        <v>1</v>
      </c>
      <c r="BQ8">
        <v>3</v>
      </c>
      <c r="BR8">
        <v>3</v>
      </c>
      <c r="BS8">
        <v>2</v>
      </c>
      <c r="BT8">
        <v>4</v>
      </c>
      <c r="BU8">
        <v>1</v>
      </c>
      <c r="BV8">
        <v>4</v>
      </c>
      <c r="BW8">
        <v>0</v>
      </c>
      <c r="BX8">
        <v>2</v>
      </c>
      <c r="BY8">
        <v>1</v>
      </c>
      <c r="BZ8">
        <v>7</v>
      </c>
      <c r="CA8">
        <v>0</v>
      </c>
      <c r="CB8">
        <v>2</v>
      </c>
      <c r="CC8">
        <v>3</v>
      </c>
      <c r="CD8">
        <v>3</v>
      </c>
      <c r="CE8">
        <v>4</v>
      </c>
      <c r="CF8">
        <v>3</v>
      </c>
      <c r="CG8">
        <v>3</v>
      </c>
      <c r="CH8">
        <v>5</v>
      </c>
      <c r="CI8">
        <v>7</v>
      </c>
      <c r="CJ8">
        <v>3</v>
      </c>
      <c r="CK8">
        <v>4</v>
      </c>
      <c r="CL8">
        <v>3</v>
      </c>
      <c r="CM8">
        <v>3</v>
      </c>
      <c r="CN8">
        <v>2</v>
      </c>
      <c r="CO8">
        <v>1</v>
      </c>
      <c r="CP8">
        <v>1</v>
      </c>
      <c r="CQ8">
        <v>2</v>
      </c>
      <c r="CR8">
        <v>1</v>
      </c>
      <c r="CS8">
        <v>3</v>
      </c>
      <c r="CT8">
        <v>2</v>
      </c>
      <c r="CU8">
        <v>0</v>
      </c>
      <c r="CV8">
        <v>2</v>
      </c>
      <c r="CW8">
        <v>2</v>
      </c>
      <c r="CX8">
        <v>4</v>
      </c>
      <c r="CY8">
        <v>2</v>
      </c>
      <c r="CZ8">
        <v>2</v>
      </c>
      <c r="DA8">
        <v>2</v>
      </c>
    </row>
    <row r="9" spans="1:105" x14ac:dyDescent="0.45">
      <c r="A9" t="s">
        <v>6</v>
      </c>
      <c r="F9">
        <v>0</v>
      </c>
      <c r="G9">
        <v>1</v>
      </c>
      <c r="H9">
        <v>4</v>
      </c>
      <c r="I9">
        <v>4</v>
      </c>
      <c r="J9">
        <v>3</v>
      </c>
      <c r="K9">
        <v>3</v>
      </c>
      <c r="L9">
        <v>2</v>
      </c>
      <c r="M9">
        <v>7</v>
      </c>
      <c r="N9">
        <v>1</v>
      </c>
      <c r="O9">
        <v>2</v>
      </c>
      <c r="P9">
        <v>4</v>
      </c>
      <c r="Q9">
        <v>0</v>
      </c>
      <c r="R9">
        <v>3</v>
      </c>
      <c r="S9">
        <v>5</v>
      </c>
      <c r="T9">
        <v>1</v>
      </c>
      <c r="U9">
        <v>3</v>
      </c>
      <c r="V9">
        <v>2</v>
      </c>
      <c r="W9">
        <v>4</v>
      </c>
      <c r="X9">
        <v>2</v>
      </c>
      <c r="Y9">
        <v>3</v>
      </c>
      <c r="Z9">
        <v>5</v>
      </c>
      <c r="AA9">
        <v>1</v>
      </c>
      <c r="AB9">
        <v>3</v>
      </c>
      <c r="AC9">
        <v>4</v>
      </c>
      <c r="AD9">
        <v>5</v>
      </c>
      <c r="AE9">
        <v>1</v>
      </c>
      <c r="AF9">
        <v>3</v>
      </c>
      <c r="AG9">
        <v>2</v>
      </c>
      <c r="AH9">
        <v>4</v>
      </c>
      <c r="AI9">
        <v>4</v>
      </c>
      <c r="AJ9">
        <v>5</v>
      </c>
      <c r="AK9">
        <v>0</v>
      </c>
      <c r="AL9">
        <v>2</v>
      </c>
      <c r="AM9">
        <v>1</v>
      </c>
      <c r="AN9">
        <v>2</v>
      </c>
      <c r="AO9">
        <v>1</v>
      </c>
      <c r="AP9">
        <v>2</v>
      </c>
      <c r="AQ9">
        <v>1</v>
      </c>
      <c r="AR9">
        <v>3</v>
      </c>
      <c r="AS9">
        <v>3</v>
      </c>
      <c r="AT9">
        <v>4</v>
      </c>
      <c r="AU9">
        <v>2</v>
      </c>
      <c r="AV9">
        <v>2</v>
      </c>
      <c r="AW9">
        <v>3</v>
      </c>
      <c r="AX9">
        <v>1</v>
      </c>
      <c r="AY9">
        <v>3</v>
      </c>
      <c r="AZ9">
        <v>4</v>
      </c>
      <c r="BA9">
        <v>3</v>
      </c>
      <c r="BB9">
        <v>2</v>
      </c>
      <c r="BC9">
        <v>5</v>
      </c>
      <c r="BD9">
        <v>2</v>
      </c>
      <c r="BE9">
        <v>3</v>
      </c>
      <c r="BF9">
        <v>7</v>
      </c>
      <c r="BG9">
        <v>5</v>
      </c>
      <c r="BH9">
        <v>3</v>
      </c>
      <c r="BI9">
        <v>3</v>
      </c>
      <c r="BJ9">
        <v>3</v>
      </c>
      <c r="BK9">
        <v>1</v>
      </c>
      <c r="BL9">
        <v>1</v>
      </c>
      <c r="BM9">
        <v>4</v>
      </c>
      <c r="BN9">
        <v>1</v>
      </c>
      <c r="BO9">
        <v>1</v>
      </c>
      <c r="BP9">
        <v>3</v>
      </c>
      <c r="BQ9">
        <v>1</v>
      </c>
      <c r="BR9">
        <v>4</v>
      </c>
      <c r="BS9">
        <v>8</v>
      </c>
      <c r="BT9">
        <v>6</v>
      </c>
      <c r="BU9">
        <v>3</v>
      </c>
      <c r="BV9">
        <v>4</v>
      </c>
      <c r="BW9">
        <v>6</v>
      </c>
      <c r="BX9">
        <v>4</v>
      </c>
      <c r="BY9">
        <v>9</v>
      </c>
      <c r="BZ9">
        <v>4</v>
      </c>
      <c r="CA9">
        <v>5</v>
      </c>
      <c r="CB9">
        <v>2</v>
      </c>
      <c r="CC9">
        <v>6</v>
      </c>
      <c r="CD9">
        <v>4</v>
      </c>
      <c r="CE9">
        <v>3</v>
      </c>
      <c r="CF9">
        <v>6</v>
      </c>
      <c r="CG9">
        <v>7</v>
      </c>
      <c r="CH9">
        <v>2</v>
      </c>
      <c r="CI9">
        <v>8</v>
      </c>
      <c r="CJ9">
        <v>1</v>
      </c>
      <c r="CK9">
        <v>4</v>
      </c>
      <c r="CL9">
        <v>3</v>
      </c>
      <c r="CM9">
        <v>3</v>
      </c>
      <c r="CN9">
        <v>2</v>
      </c>
      <c r="CO9">
        <v>3</v>
      </c>
      <c r="CP9">
        <v>1</v>
      </c>
      <c r="CQ9">
        <v>2</v>
      </c>
      <c r="CR9">
        <v>1</v>
      </c>
      <c r="CS9">
        <v>3</v>
      </c>
      <c r="CT9">
        <v>2</v>
      </c>
      <c r="CU9">
        <v>0</v>
      </c>
      <c r="CV9">
        <v>4</v>
      </c>
      <c r="CW9">
        <v>7</v>
      </c>
      <c r="CX9">
        <v>1</v>
      </c>
      <c r="CY9">
        <v>2</v>
      </c>
      <c r="CZ9">
        <v>7</v>
      </c>
      <c r="DA9">
        <v>4</v>
      </c>
    </row>
    <row r="10" spans="1:105" x14ac:dyDescent="0.45">
      <c r="F10">
        <v>1</v>
      </c>
      <c r="G10">
        <v>3</v>
      </c>
      <c r="H10">
        <v>2</v>
      </c>
      <c r="I10">
        <v>4</v>
      </c>
      <c r="J10">
        <v>3</v>
      </c>
      <c r="K10">
        <v>1</v>
      </c>
      <c r="L10">
        <v>0</v>
      </c>
      <c r="M10">
        <v>1</v>
      </c>
      <c r="N10">
        <v>2</v>
      </c>
      <c r="O10">
        <v>3</v>
      </c>
      <c r="P10">
        <v>4</v>
      </c>
      <c r="Q10">
        <v>3</v>
      </c>
      <c r="R10">
        <v>3</v>
      </c>
      <c r="S10">
        <v>7</v>
      </c>
      <c r="T10">
        <v>2</v>
      </c>
      <c r="U10">
        <v>2</v>
      </c>
      <c r="V10">
        <v>4</v>
      </c>
      <c r="W10">
        <v>1</v>
      </c>
      <c r="X10">
        <v>2</v>
      </c>
      <c r="Y10">
        <v>4</v>
      </c>
      <c r="Z10">
        <v>1</v>
      </c>
      <c r="AA10">
        <v>4</v>
      </c>
      <c r="AB10">
        <v>2</v>
      </c>
      <c r="AC10">
        <v>3</v>
      </c>
      <c r="AD10">
        <v>4</v>
      </c>
      <c r="AE10">
        <v>3</v>
      </c>
      <c r="AF10">
        <v>4</v>
      </c>
      <c r="AG10">
        <v>4</v>
      </c>
      <c r="AH10">
        <v>0</v>
      </c>
      <c r="AI10">
        <v>7</v>
      </c>
      <c r="AJ10">
        <v>0</v>
      </c>
      <c r="AK10">
        <v>4</v>
      </c>
      <c r="AL10">
        <v>0</v>
      </c>
      <c r="AM10">
        <v>1</v>
      </c>
      <c r="AN10">
        <v>5</v>
      </c>
      <c r="AO10">
        <v>7</v>
      </c>
      <c r="AP10">
        <v>3</v>
      </c>
      <c r="AQ10">
        <v>1</v>
      </c>
      <c r="AR10">
        <v>3</v>
      </c>
      <c r="AS10">
        <v>4</v>
      </c>
      <c r="AT10">
        <v>2</v>
      </c>
      <c r="AU10">
        <v>4</v>
      </c>
      <c r="AV10">
        <v>1</v>
      </c>
      <c r="AW10">
        <v>1</v>
      </c>
      <c r="AX10">
        <v>1</v>
      </c>
      <c r="AY10">
        <v>8</v>
      </c>
      <c r="AZ10">
        <v>1</v>
      </c>
      <c r="BA10">
        <v>3</v>
      </c>
      <c r="BB10">
        <v>2</v>
      </c>
      <c r="BC10">
        <v>2</v>
      </c>
      <c r="BD10">
        <v>2</v>
      </c>
      <c r="BE10">
        <v>1</v>
      </c>
      <c r="BF10">
        <v>4</v>
      </c>
      <c r="BG10">
        <v>3</v>
      </c>
      <c r="BH10">
        <v>2</v>
      </c>
      <c r="BI10">
        <v>2</v>
      </c>
      <c r="BJ10">
        <v>3</v>
      </c>
      <c r="BK10">
        <v>3</v>
      </c>
      <c r="BL10">
        <v>3</v>
      </c>
      <c r="BM10">
        <v>3</v>
      </c>
      <c r="BN10">
        <v>3</v>
      </c>
      <c r="BO10">
        <v>4</v>
      </c>
      <c r="BP10">
        <v>4</v>
      </c>
      <c r="BQ10">
        <v>1</v>
      </c>
      <c r="BR10">
        <v>3</v>
      </c>
      <c r="BS10">
        <v>1</v>
      </c>
      <c r="BT10">
        <v>7</v>
      </c>
      <c r="BU10">
        <v>4</v>
      </c>
      <c r="BV10">
        <v>5</v>
      </c>
      <c r="BW10">
        <v>2</v>
      </c>
      <c r="BX10">
        <v>5</v>
      </c>
      <c r="BY10">
        <v>2</v>
      </c>
      <c r="BZ10">
        <v>1</v>
      </c>
      <c r="CA10">
        <v>1</v>
      </c>
      <c r="CB10">
        <v>6</v>
      </c>
      <c r="CC10">
        <v>4</v>
      </c>
      <c r="CD10">
        <v>2</v>
      </c>
      <c r="CE10">
        <v>4</v>
      </c>
      <c r="CF10">
        <v>5</v>
      </c>
      <c r="CG10">
        <v>1</v>
      </c>
      <c r="CH10">
        <v>2</v>
      </c>
      <c r="CI10">
        <v>1</v>
      </c>
      <c r="CJ10">
        <v>2</v>
      </c>
      <c r="CK10">
        <v>3</v>
      </c>
      <c r="CL10">
        <v>5</v>
      </c>
      <c r="CM10">
        <v>4</v>
      </c>
      <c r="CN10">
        <v>2</v>
      </c>
      <c r="CO10">
        <v>7</v>
      </c>
      <c r="CP10">
        <v>3</v>
      </c>
      <c r="CQ10">
        <v>1</v>
      </c>
      <c r="CR10">
        <v>4</v>
      </c>
      <c r="CS10">
        <v>6</v>
      </c>
      <c r="CT10">
        <v>4</v>
      </c>
      <c r="CU10">
        <v>2</v>
      </c>
      <c r="CV10">
        <v>3</v>
      </c>
      <c r="CW10">
        <v>5</v>
      </c>
      <c r="CX10">
        <v>6</v>
      </c>
      <c r="CY10">
        <v>1</v>
      </c>
      <c r="CZ10">
        <v>4</v>
      </c>
      <c r="DA10">
        <v>1</v>
      </c>
    </row>
    <row r="11" spans="1:105" x14ac:dyDescent="0.45">
      <c r="E11" t="s">
        <v>1</v>
      </c>
      <c r="F11">
        <f>AVERAGE(F2:F10)</f>
        <v>2.1111111111111112</v>
      </c>
      <c r="G11">
        <f>AVERAGE(G2:G10)</f>
        <v>2.2222222222222223</v>
      </c>
      <c r="H11">
        <f t="shared" ref="H11:BS11" si="0">AVERAGE(H2:H10)</f>
        <v>3.4444444444444446</v>
      </c>
      <c r="I11">
        <f t="shared" si="0"/>
        <v>3</v>
      </c>
      <c r="J11">
        <f t="shared" si="0"/>
        <v>3.1111111111111112</v>
      </c>
      <c r="K11">
        <f t="shared" si="0"/>
        <v>2.5555555555555554</v>
      </c>
      <c r="L11">
        <f t="shared" si="0"/>
        <v>2.1111111111111112</v>
      </c>
      <c r="M11">
        <f t="shared" si="0"/>
        <v>2.1111111111111112</v>
      </c>
      <c r="N11">
        <f t="shared" si="0"/>
        <v>3.3333333333333335</v>
      </c>
      <c r="O11">
        <f t="shared" si="0"/>
        <v>2.6666666666666665</v>
      </c>
      <c r="P11">
        <f t="shared" si="0"/>
        <v>2.2222222222222223</v>
      </c>
      <c r="Q11">
        <f t="shared" si="0"/>
        <v>2.4444444444444446</v>
      </c>
      <c r="R11">
        <f t="shared" si="0"/>
        <v>2.7777777777777777</v>
      </c>
      <c r="S11">
        <f t="shared" si="0"/>
        <v>3.2222222222222223</v>
      </c>
      <c r="T11">
        <f t="shared" si="0"/>
        <v>3.2222222222222223</v>
      </c>
      <c r="U11">
        <f t="shared" si="0"/>
        <v>2.3333333333333335</v>
      </c>
      <c r="V11">
        <f t="shared" si="0"/>
        <v>3</v>
      </c>
      <c r="W11">
        <f t="shared" si="0"/>
        <v>2.8888888888888888</v>
      </c>
      <c r="X11">
        <f t="shared" si="0"/>
        <v>3.4444444444444446</v>
      </c>
      <c r="Y11">
        <f t="shared" si="0"/>
        <v>3</v>
      </c>
      <c r="Z11">
        <f t="shared" si="0"/>
        <v>2.6666666666666665</v>
      </c>
      <c r="AA11">
        <f t="shared" si="0"/>
        <v>2.5555555555555554</v>
      </c>
      <c r="AB11">
        <f t="shared" si="0"/>
        <v>2.4444444444444446</v>
      </c>
      <c r="AC11">
        <f t="shared" si="0"/>
        <v>3.5555555555555554</v>
      </c>
      <c r="AD11">
        <f t="shared" si="0"/>
        <v>4.1111111111111107</v>
      </c>
      <c r="AE11">
        <f t="shared" si="0"/>
        <v>2.8888888888888888</v>
      </c>
      <c r="AF11">
        <f t="shared" si="0"/>
        <v>2.8888888888888888</v>
      </c>
      <c r="AG11">
        <f t="shared" si="0"/>
        <v>2.1111111111111112</v>
      </c>
      <c r="AH11">
        <f t="shared" si="0"/>
        <v>2.5555555555555554</v>
      </c>
      <c r="AI11">
        <f t="shared" si="0"/>
        <v>2.8888888888888888</v>
      </c>
      <c r="AJ11">
        <f t="shared" si="0"/>
        <v>2.7777777777777777</v>
      </c>
      <c r="AK11">
        <f t="shared" si="0"/>
        <v>3.1111111111111112</v>
      </c>
      <c r="AL11">
        <f t="shared" si="0"/>
        <v>3</v>
      </c>
      <c r="AM11">
        <f t="shared" si="0"/>
        <v>2.1111111111111112</v>
      </c>
      <c r="AN11">
        <f t="shared" si="0"/>
        <v>3.6666666666666665</v>
      </c>
      <c r="AO11">
        <f t="shared" si="0"/>
        <v>3</v>
      </c>
      <c r="AP11">
        <f t="shared" si="0"/>
        <v>2</v>
      </c>
      <c r="AQ11">
        <f t="shared" si="0"/>
        <v>2.4444444444444446</v>
      </c>
      <c r="AR11">
        <f t="shared" si="0"/>
        <v>2.6666666666666665</v>
      </c>
      <c r="AS11">
        <f t="shared" si="0"/>
        <v>3.2222222222222223</v>
      </c>
      <c r="AT11">
        <f t="shared" si="0"/>
        <v>3</v>
      </c>
      <c r="AU11">
        <f t="shared" si="0"/>
        <v>3.3333333333333335</v>
      </c>
      <c r="AV11">
        <f t="shared" si="0"/>
        <v>3.5555555555555554</v>
      </c>
      <c r="AW11">
        <f t="shared" si="0"/>
        <v>2.1111111111111112</v>
      </c>
      <c r="AX11">
        <f t="shared" si="0"/>
        <v>3</v>
      </c>
      <c r="AY11">
        <f t="shared" si="0"/>
        <v>3.4444444444444446</v>
      </c>
      <c r="AZ11">
        <f t="shared" si="0"/>
        <v>3.6666666666666665</v>
      </c>
      <c r="BA11">
        <f t="shared" si="0"/>
        <v>3.4444444444444446</v>
      </c>
      <c r="BB11">
        <f t="shared" si="0"/>
        <v>2.3333333333333335</v>
      </c>
      <c r="BC11">
        <f t="shared" si="0"/>
        <v>2.3333333333333335</v>
      </c>
      <c r="BD11">
        <f t="shared" si="0"/>
        <v>2.8888888888888888</v>
      </c>
      <c r="BE11">
        <f t="shared" si="0"/>
        <v>2.7777777777777777</v>
      </c>
      <c r="BF11">
        <f t="shared" si="0"/>
        <v>3.1111111111111112</v>
      </c>
      <c r="BG11">
        <f t="shared" si="0"/>
        <v>2.8888888888888888</v>
      </c>
      <c r="BH11">
        <f t="shared" si="0"/>
        <v>3.2222222222222223</v>
      </c>
      <c r="BI11">
        <f t="shared" si="0"/>
        <v>2.8888888888888888</v>
      </c>
      <c r="BJ11">
        <f t="shared" si="0"/>
        <v>3.2222222222222223</v>
      </c>
      <c r="BK11">
        <f t="shared" si="0"/>
        <v>3.2222222222222223</v>
      </c>
      <c r="BL11">
        <f t="shared" si="0"/>
        <v>2.5555555555555554</v>
      </c>
      <c r="BM11">
        <f t="shared" si="0"/>
        <v>3.3333333333333335</v>
      </c>
      <c r="BN11">
        <f t="shared" si="0"/>
        <v>2.5555555555555554</v>
      </c>
      <c r="BO11">
        <f t="shared" si="0"/>
        <v>2.6666666666666665</v>
      </c>
      <c r="BP11">
        <f t="shared" si="0"/>
        <v>3.4444444444444446</v>
      </c>
      <c r="BQ11">
        <f t="shared" si="0"/>
        <v>2</v>
      </c>
      <c r="BR11">
        <f t="shared" si="0"/>
        <v>3.5555555555555554</v>
      </c>
      <c r="BS11">
        <f t="shared" si="0"/>
        <v>3.2222222222222223</v>
      </c>
      <c r="BT11">
        <f t="shared" ref="BT11:DA11" si="1">AVERAGE(BT2:BT10)</f>
        <v>3</v>
      </c>
      <c r="BU11">
        <f t="shared" si="1"/>
        <v>2.5555555555555554</v>
      </c>
      <c r="BV11">
        <f t="shared" si="1"/>
        <v>3.4444444444444446</v>
      </c>
      <c r="BW11">
        <f t="shared" si="1"/>
        <v>4.2222222222222223</v>
      </c>
      <c r="BX11">
        <f t="shared" si="1"/>
        <v>3.5555555555555554</v>
      </c>
      <c r="BY11">
        <f t="shared" si="1"/>
        <v>3.7777777777777777</v>
      </c>
      <c r="BZ11">
        <f t="shared" si="1"/>
        <v>2.3333333333333335</v>
      </c>
      <c r="CA11">
        <f t="shared" si="1"/>
        <v>3.3333333333333335</v>
      </c>
      <c r="CB11">
        <f t="shared" si="1"/>
        <v>3.1111111111111112</v>
      </c>
      <c r="CC11">
        <f t="shared" si="1"/>
        <v>4</v>
      </c>
      <c r="CD11">
        <f t="shared" si="1"/>
        <v>3.3333333333333335</v>
      </c>
      <c r="CE11">
        <f t="shared" si="1"/>
        <v>3.4444444444444446</v>
      </c>
      <c r="CF11">
        <f t="shared" si="1"/>
        <v>3.2222222222222223</v>
      </c>
      <c r="CG11">
        <f t="shared" si="1"/>
        <v>3.2222222222222223</v>
      </c>
      <c r="CH11">
        <f t="shared" si="1"/>
        <v>3.1111111111111112</v>
      </c>
      <c r="CI11">
        <f t="shared" si="1"/>
        <v>3.1111111111111112</v>
      </c>
      <c r="CJ11">
        <f t="shared" si="1"/>
        <v>2.5555555555555554</v>
      </c>
      <c r="CK11">
        <f t="shared" si="1"/>
        <v>3.4444444444444446</v>
      </c>
      <c r="CL11">
        <f t="shared" si="1"/>
        <v>3.3333333333333335</v>
      </c>
      <c r="CM11">
        <f t="shared" si="1"/>
        <v>3.1111111111111112</v>
      </c>
      <c r="CN11">
        <f t="shared" si="1"/>
        <v>3.3333333333333335</v>
      </c>
      <c r="CO11">
        <f t="shared" si="1"/>
        <v>4.2222222222222223</v>
      </c>
      <c r="CP11">
        <f t="shared" si="1"/>
        <v>2</v>
      </c>
      <c r="CQ11">
        <f t="shared" si="1"/>
        <v>3.2222222222222223</v>
      </c>
      <c r="CR11">
        <f t="shared" si="1"/>
        <v>2.2222222222222223</v>
      </c>
      <c r="CS11">
        <f t="shared" si="1"/>
        <v>2.8888888888888888</v>
      </c>
      <c r="CT11">
        <f t="shared" si="1"/>
        <v>3.3333333333333335</v>
      </c>
      <c r="CU11">
        <f t="shared" si="1"/>
        <v>2.5555555555555554</v>
      </c>
      <c r="CV11">
        <f t="shared" si="1"/>
        <v>2.6666666666666665</v>
      </c>
      <c r="CW11">
        <f t="shared" si="1"/>
        <v>4.5555555555555554</v>
      </c>
      <c r="CX11">
        <f t="shared" si="1"/>
        <v>2.5555555555555554</v>
      </c>
      <c r="CY11">
        <f t="shared" si="1"/>
        <v>2.3333333333333335</v>
      </c>
      <c r="CZ11">
        <f t="shared" si="1"/>
        <v>3.4444444444444446</v>
      </c>
      <c r="DA11">
        <f t="shared" si="1"/>
        <v>3.2222222222222223</v>
      </c>
    </row>
    <row r="12" spans="1:105" x14ac:dyDescent="0.45">
      <c r="E12" t="s">
        <v>4</v>
      </c>
      <c r="F12">
        <f>AVERAGE(F11:DA11)</f>
        <v>2.9744444444444453</v>
      </c>
      <c r="H12" t="s">
        <v>8</v>
      </c>
    </row>
    <row r="13" spans="1:105" x14ac:dyDescent="0.45">
      <c r="E13" t="s">
        <v>5</v>
      </c>
      <c r="F13">
        <f>_xlfn.STDEV.S(F11:DA11)</f>
        <v>0.54015811977917838</v>
      </c>
      <c r="H13">
        <f>SQRT(3)/3</f>
        <v>0.57735026918962573</v>
      </c>
    </row>
    <row r="16" spans="1:105" x14ac:dyDescent="0.45">
      <c r="A16" t="s">
        <v>9</v>
      </c>
      <c r="H16" t="s">
        <v>19</v>
      </c>
    </row>
    <row r="17" spans="1:11" x14ac:dyDescent="0.45">
      <c r="A17" t="s">
        <v>10</v>
      </c>
      <c r="G17" t="s">
        <v>12</v>
      </c>
      <c r="H17">
        <v>100</v>
      </c>
      <c r="J17" s="1" t="s">
        <v>16</v>
      </c>
    </row>
    <row r="18" spans="1:11" x14ac:dyDescent="0.45">
      <c r="A18" t="s">
        <v>11</v>
      </c>
      <c r="B18">
        <f>200 * 0.9</f>
        <v>180</v>
      </c>
      <c r="G18" t="s">
        <v>13</v>
      </c>
      <c r="H18">
        <v>32</v>
      </c>
      <c r="J18" t="s">
        <v>17</v>
      </c>
      <c r="K18" t="s">
        <v>18</v>
      </c>
    </row>
    <row r="19" spans="1:11" x14ac:dyDescent="0.45">
      <c r="G19" t="s">
        <v>2</v>
      </c>
      <c r="H19">
        <v>4</v>
      </c>
      <c r="J19">
        <f>H18-H22*H21</f>
        <v>30.969668278580439</v>
      </c>
      <c r="K19">
        <f>H18+H22*H21</f>
        <v>33.030331721419557</v>
      </c>
    </row>
    <row r="20" spans="1:11" x14ac:dyDescent="0.45">
      <c r="G20" t="s">
        <v>21</v>
      </c>
      <c r="H20" s="1">
        <v>0.99</v>
      </c>
    </row>
    <row r="21" spans="1:11" x14ac:dyDescent="0.45">
      <c r="G21" t="s">
        <v>14</v>
      </c>
      <c r="H21">
        <f>H19 / SQRT(H17)</f>
        <v>0.4</v>
      </c>
    </row>
    <row r="22" spans="1:11" x14ac:dyDescent="0.45">
      <c r="G22" t="s">
        <v>15</v>
      </c>
      <c r="H22">
        <f>_xlfn.NORM.S.INV(0.995)</f>
        <v>2.5758293035488999</v>
      </c>
    </row>
    <row r="25" spans="1:11" x14ac:dyDescent="0.45">
      <c r="H25" t="s">
        <v>20</v>
      </c>
    </row>
    <row r="26" spans="1:11" x14ac:dyDescent="0.45">
      <c r="G26" t="s">
        <v>2</v>
      </c>
      <c r="H26">
        <v>9</v>
      </c>
    </row>
    <row r="27" spans="1:11" x14ac:dyDescent="0.45">
      <c r="G27" t="s">
        <v>14</v>
      </c>
      <c r="H27">
        <v>1.2</v>
      </c>
    </row>
    <row r="28" spans="1:11" x14ac:dyDescent="0.45">
      <c r="G28" t="s">
        <v>21</v>
      </c>
      <c r="H28" s="1">
        <v>0.9</v>
      </c>
    </row>
    <row r="29" spans="1:11" x14ac:dyDescent="0.45">
      <c r="G29" t="s">
        <v>22</v>
      </c>
      <c r="H29">
        <f>_xlfn.NORM.S.INV(0.95)</f>
        <v>1.6448536269514715</v>
      </c>
    </row>
    <row r="30" spans="1:11" x14ac:dyDescent="0.45">
      <c r="G30" t="s">
        <v>23</v>
      </c>
      <c r="H30">
        <f>((H29 * H26)/H27)^2</f>
        <v>152.18681929286686</v>
      </c>
    </row>
    <row r="31" spans="1:11" x14ac:dyDescent="0.45">
      <c r="G31" t="s">
        <v>24</v>
      </c>
      <c r="H31">
        <v>153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2026-05-16T13:45:25Z</dcterms:created>
  <dcterms:modified xsi:type="dcterms:W3CDTF">2026-05-16T14:56:54Z</dcterms:modified>
</cp:coreProperties>
</file>