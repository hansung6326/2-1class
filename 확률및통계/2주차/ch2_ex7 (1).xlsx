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_class\확률및통계\2주차\"/>
    </mc:Choice>
  </mc:AlternateContent>
  <xr:revisionPtr revIDLastSave="0" documentId="13_ncr:1_{3A9E15C1-CF56-4B16-8A0B-BA889427FD5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8" i="3"/>
  <c r="E19" i="3"/>
  <c r="E20" i="3"/>
  <c r="E21" i="3"/>
  <c r="E22" i="3"/>
  <c r="E16" i="3"/>
  <c r="E15" i="3"/>
  <c r="D7" i="3"/>
  <c r="D8" i="3"/>
  <c r="D9" i="3"/>
  <c r="D6" i="3"/>
  <c r="M5" i="3"/>
  <c r="M6" i="3"/>
  <c r="M7" i="3"/>
  <c r="M8" i="3"/>
  <c r="M9" i="3"/>
  <c r="M10" i="3"/>
  <c r="M4" i="3"/>
  <c r="M3" i="3"/>
  <c r="J10" i="3"/>
  <c r="J3" i="3"/>
  <c r="J4" i="3"/>
  <c r="J5" i="3"/>
  <c r="J6" i="3"/>
  <c r="J7" i="3"/>
  <c r="J8" i="3"/>
  <c r="J9" i="3"/>
  <c r="I10" i="3"/>
  <c r="I3" i="3" a="1"/>
  <c r="I3" i="3" s="1"/>
  <c r="I5" i="3"/>
  <c r="I6" i="3"/>
  <c r="I7" i="3"/>
  <c r="I8" i="3"/>
  <c r="I9" i="3"/>
  <c r="I4" i="3" l="1"/>
</calcChain>
</file>

<file path=xl/sharedStrings.xml><?xml version="1.0" encoding="utf-8"?>
<sst xmlns="http://schemas.openxmlformats.org/spreadsheetml/2006/main" count="42" uniqueCount="36">
  <si>
    <t>키</t>
    <phoneticPr fontId="1" type="noConversion"/>
  </si>
  <si>
    <t>실습</t>
    <phoneticPr fontId="1" type="noConversion"/>
  </si>
  <si>
    <t>1. 혈액형 자료 복사</t>
    <phoneticPr fontId="1" type="noConversion"/>
  </si>
  <si>
    <t>1) 막대그래프</t>
    <phoneticPr fontId="1" type="noConversion"/>
  </si>
  <si>
    <t>2)원형 차트</t>
    <phoneticPr fontId="1" type="noConversion"/>
  </si>
  <si>
    <t>2. 그룹화된 막대그래프</t>
    <phoneticPr fontId="1" type="noConversion"/>
  </si>
  <si>
    <t>영업팀 판매수량 데이터 복사</t>
    <phoneticPr fontId="1" type="noConversion"/>
  </si>
  <si>
    <t>3. 파레토 곡선</t>
    <phoneticPr fontId="1" type="noConversion"/>
  </si>
  <si>
    <t>미용 화장지 불량 요인 데이터 보사</t>
    <phoneticPr fontId="1" type="noConversion"/>
  </si>
  <si>
    <t xml:space="preserve">4. 양적 자료 </t>
    <phoneticPr fontId="1" type="noConversion"/>
  </si>
  <si>
    <t>1) 도수분포표</t>
    <phoneticPr fontId="1" type="noConversion"/>
  </si>
  <si>
    <t>2)히스토그램</t>
    <phoneticPr fontId="1" type="noConversion"/>
  </si>
  <si>
    <t>3) 도수 다각형</t>
    <phoneticPr fontId="1" type="noConversion"/>
  </si>
  <si>
    <t>min</t>
    <phoneticPr fontId="1" type="noConversion"/>
  </si>
  <si>
    <t>max</t>
    <phoneticPr fontId="1" type="noConversion"/>
  </si>
  <si>
    <t>stem</t>
    <phoneticPr fontId="1" type="noConversion"/>
  </si>
  <si>
    <t>leaf</t>
    <phoneticPr fontId="1" type="noConversion"/>
  </si>
  <si>
    <t>15-</t>
    <phoneticPr fontId="1" type="noConversion"/>
  </si>
  <si>
    <t>15+</t>
    <phoneticPr fontId="1" type="noConversion"/>
  </si>
  <si>
    <t>16-</t>
  </si>
  <si>
    <t>16+</t>
  </si>
  <si>
    <t>17-</t>
  </si>
  <si>
    <t>17+</t>
  </si>
  <si>
    <t>bin</t>
    <phoneticPr fontId="1" type="noConversion"/>
  </si>
  <si>
    <t>class</t>
    <phoneticPr fontId="1" type="noConversion"/>
  </si>
  <si>
    <t>Freq</t>
    <phoneticPr fontId="1" type="noConversion"/>
  </si>
  <si>
    <t>154.5미만</t>
    <phoneticPr fontId="1" type="noConversion"/>
  </si>
  <si>
    <t>154.5~159.5</t>
    <phoneticPr fontId="1" type="noConversion"/>
  </si>
  <si>
    <t>159.5~164.5</t>
    <phoneticPr fontId="1" type="noConversion"/>
  </si>
  <si>
    <t>164.5~169.5</t>
    <phoneticPr fontId="1" type="noConversion"/>
  </si>
  <si>
    <t>169.5~174.5</t>
    <phoneticPr fontId="1" type="noConversion"/>
  </si>
  <si>
    <t>174.5~179.5</t>
    <phoneticPr fontId="1" type="noConversion"/>
  </si>
  <si>
    <t>179.5~184.5</t>
    <phoneticPr fontId="1" type="noConversion"/>
  </si>
  <si>
    <t>Relative Freq</t>
    <phoneticPr fontId="1" type="noConversion"/>
  </si>
  <si>
    <t>줄기</t>
    <phoneticPr fontId="1" type="noConversion"/>
  </si>
  <si>
    <t>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</si>
</sst>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workbookViewId="0">
      <selection sqref="A1:A52"/>
    </sheetView>
  </sheetViews>
  <sheetFormatPr defaultRowHeight="14" x14ac:dyDescent="0.25"/>
  <sheetData>
    <row r="1" spans="1:1" x14ac:dyDescent="0.25">
      <c r="A1" t="s">
        <v>0</v>
      </c>
    </row>
    <row r="2" spans="1:1" x14ac:dyDescent="0.25">
      <c r="A2">
        <v>181</v>
      </c>
    </row>
    <row r="3" spans="1:1" x14ac:dyDescent="0.25">
      <c r="A3">
        <v>161</v>
      </c>
    </row>
    <row r="4" spans="1:1" x14ac:dyDescent="0.25">
      <c r="A4">
        <v>170</v>
      </c>
    </row>
    <row r="5" spans="1:1" x14ac:dyDescent="0.25">
      <c r="A5">
        <v>160</v>
      </c>
    </row>
    <row r="6" spans="1:1" x14ac:dyDescent="0.25">
      <c r="A6">
        <v>158</v>
      </c>
    </row>
    <row r="7" spans="1:1" x14ac:dyDescent="0.25">
      <c r="A7">
        <v>169</v>
      </c>
    </row>
    <row r="8" spans="1:1" x14ac:dyDescent="0.25">
      <c r="A8">
        <v>162</v>
      </c>
    </row>
    <row r="9" spans="1:1" x14ac:dyDescent="0.25">
      <c r="A9">
        <v>179</v>
      </c>
    </row>
    <row r="10" spans="1:1" x14ac:dyDescent="0.25">
      <c r="A10">
        <v>183</v>
      </c>
    </row>
    <row r="11" spans="1:1" x14ac:dyDescent="0.25">
      <c r="A11">
        <v>178</v>
      </c>
    </row>
    <row r="12" spans="1:1" x14ac:dyDescent="0.25">
      <c r="A12">
        <v>171</v>
      </c>
    </row>
    <row r="13" spans="1:1" x14ac:dyDescent="0.25">
      <c r="A13">
        <v>177</v>
      </c>
    </row>
    <row r="14" spans="1:1" x14ac:dyDescent="0.25">
      <c r="A14">
        <v>163</v>
      </c>
    </row>
    <row r="15" spans="1:1" x14ac:dyDescent="0.25">
      <c r="A15">
        <v>158</v>
      </c>
    </row>
    <row r="16" spans="1:1" x14ac:dyDescent="0.25">
      <c r="A16">
        <v>160</v>
      </c>
    </row>
    <row r="17" spans="1:1" x14ac:dyDescent="0.25">
      <c r="A17">
        <v>160</v>
      </c>
    </row>
    <row r="18" spans="1:1" x14ac:dyDescent="0.25">
      <c r="A18">
        <v>158</v>
      </c>
    </row>
    <row r="19" spans="1:1" x14ac:dyDescent="0.25">
      <c r="A19">
        <v>174</v>
      </c>
    </row>
    <row r="20" spans="1:1" x14ac:dyDescent="0.25">
      <c r="A20">
        <v>160</v>
      </c>
    </row>
    <row r="21" spans="1:1" x14ac:dyDescent="0.25">
      <c r="A21">
        <v>163</v>
      </c>
    </row>
    <row r="22" spans="1:1" x14ac:dyDescent="0.25">
      <c r="A22">
        <v>167</v>
      </c>
    </row>
    <row r="23" spans="1:1" x14ac:dyDescent="0.25">
      <c r="A23">
        <v>165</v>
      </c>
    </row>
    <row r="24" spans="1:1" x14ac:dyDescent="0.25">
      <c r="A24">
        <v>163</v>
      </c>
    </row>
    <row r="25" spans="1:1" x14ac:dyDescent="0.25">
      <c r="A25">
        <v>173</v>
      </c>
    </row>
    <row r="26" spans="1:1" x14ac:dyDescent="0.25">
      <c r="A26">
        <v>178</v>
      </c>
    </row>
    <row r="27" spans="1:1" x14ac:dyDescent="0.25">
      <c r="A27">
        <v>170</v>
      </c>
    </row>
    <row r="28" spans="1:1" x14ac:dyDescent="0.25">
      <c r="A28">
        <v>167</v>
      </c>
    </row>
    <row r="29" spans="1:1" x14ac:dyDescent="0.25">
      <c r="A29">
        <v>177</v>
      </c>
    </row>
    <row r="30" spans="1:1" x14ac:dyDescent="0.25">
      <c r="A30">
        <v>176</v>
      </c>
    </row>
    <row r="31" spans="1:1" x14ac:dyDescent="0.25">
      <c r="A31">
        <v>170</v>
      </c>
    </row>
    <row r="32" spans="1:1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opLeftCell="A4" workbookViewId="0">
      <selection activeCell="D18" sqref="D18"/>
    </sheetView>
  </sheetViews>
  <sheetFormatPr defaultRowHeight="14" x14ac:dyDescent="0.25"/>
  <sheetData>
    <row r="1" spans="1:2" x14ac:dyDescent="0.25">
      <c r="A1" s="1" t="s">
        <v>1</v>
      </c>
    </row>
    <row r="2" spans="1:2" x14ac:dyDescent="0.25">
      <c r="A2" s="1" t="s">
        <v>2</v>
      </c>
    </row>
    <row r="3" spans="1:2" x14ac:dyDescent="0.25">
      <c r="B3" s="1" t="s">
        <v>3</v>
      </c>
    </row>
    <row r="4" spans="1:2" x14ac:dyDescent="0.25">
      <c r="B4" s="1" t="s">
        <v>4</v>
      </c>
    </row>
    <row r="6" spans="1:2" x14ac:dyDescent="0.25">
      <c r="A6" s="1" t="s">
        <v>5</v>
      </c>
    </row>
    <row r="7" spans="1:2" x14ac:dyDescent="0.25">
      <c r="B7" s="1" t="s">
        <v>6</v>
      </c>
    </row>
    <row r="9" spans="1:2" x14ac:dyDescent="0.25">
      <c r="A9" s="1" t="s">
        <v>7</v>
      </c>
    </row>
    <row r="10" spans="1:2" x14ac:dyDescent="0.25">
      <c r="B10" s="1" t="s">
        <v>8</v>
      </c>
    </row>
    <row r="12" spans="1:2" x14ac:dyDescent="0.25">
      <c r="A12" s="1" t="s">
        <v>9</v>
      </c>
    </row>
    <row r="13" spans="1:2" x14ac:dyDescent="0.25">
      <c r="B13" s="1" t="s">
        <v>10</v>
      </c>
    </row>
    <row r="14" spans="1:2" x14ac:dyDescent="0.25">
      <c r="B14" t="s">
        <v>11</v>
      </c>
    </row>
    <row r="15" spans="1:2" x14ac:dyDescent="0.25">
      <c r="B15" s="1" t="s">
        <v>12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abSelected="1" workbookViewId="0">
      <selection activeCell="G21" sqref="G21"/>
    </sheetView>
  </sheetViews>
  <sheetFormatPr defaultRowHeight="14" x14ac:dyDescent="0.25"/>
  <cols>
    <col min="7" max="7" width="9.9140625" customWidth="1"/>
    <col min="8" max="8" width="13.08203125" customWidth="1"/>
    <col min="10" max="10" width="11.25" bestFit="1" customWidth="1"/>
    <col min="13" max="13" width="14.9140625" bestFit="1" customWidth="1"/>
  </cols>
  <sheetData>
    <row r="1" spans="1:13" x14ac:dyDescent="0.25">
      <c r="A1" t="s">
        <v>0</v>
      </c>
      <c r="C1" s="1" t="s">
        <v>13</v>
      </c>
    </row>
    <row r="2" spans="1:13" x14ac:dyDescent="0.25">
      <c r="A2">
        <v>181</v>
      </c>
      <c r="C2" s="1" t="s">
        <v>14</v>
      </c>
      <c r="G2" s="2" t="s">
        <v>23</v>
      </c>
      <c r="H2" s="2" t="s">
        <v>24</v>
      </c>
      <c r="I2" s="2" t="s">
        <v>25</v>
      </c>
      <c r="J2" s="2" t="s">
        <v>33</v>
      </c>
      <c r="L2" s="2" t="s">
        <v>34</v>
      </c>
      <c r="M2" s="2" t="s">
        <v>35</v>
      </c>
    </row>
    <row r="3" spans="1:13" x14ac:dyDescent="0.25">
      <c r="A3">
        <v>161</v>
      </c>
      <c r="G3">
        <v>154.5</v>
      </c>
      <c r="H3" s="2" t="s">
        <v>26</v>
      </c>
      <c r="I3">
        <f t="array" ref="I3:I9">FREQUENCY(A2:A52,G3:G8)</f>
        <v>1</v>
      </c>
      <c r="J3">
        <f>I3/$I$10</f>
        <v>1.9607843137254902E-2</v>
      </c>
      <c r="L3" s="2">
        <v>15</v>
      </c>
      <c r="M3" t="str">
        <f>REPT("0",COUNTIF($A$2:$A$52,L3*10+0))&amp;REPT("1",COUNTIF($A$2:$A$52,L3*10+1))&amp;REPT("2",COUNTIF($A$2:$A$52,L3*10+2))&amp;REPT("3",COUNTIF($A$2:$A$52,L3*10+3))&amp;REPT("4",COUNTIF($A$2:$A$52,L3*10+4))</f>
        <v>2</v>
      </c>
    </row>
    <row r="4" spans="1:13" x14ac:dyDescent="0.25">
      <c r="A4">
        <v>170</v>
      </c>
      <c r="G4">
        <v>159.5</v>
      </c>
      <c r="H4" s="2" t="s">
        <v>27</v>
      </c>
      <c r="I4">
        <v>5</v>
      </c>
      <c r="J4">
        <f t="shared" ref="J4:J10" si="0">I4/$I$10</f>
        <v>9.8039215686274508E-2</v>
      </c>
      <c r="L4" s="2">
        <v>15</v>
      </c>
      <c r="M4" t="str">
        <f>REPT("5",COUNTIF($A$2:$A$52,L4*10+5))&amp;REPT("6",COUNTIF($A$2:$A$52,L4*10+6))&amp;REPT("7",COUNTIF($A$2:$A$52,L4*10+7))&amp;REPT("8",COUNTIF($A$2:$A$52,L4*10+8))&amp;REPT("9",COUNTIF($A$2:$A$52,L4*10+9))</f>
        <v>88889</v>
      </c>
    </row>
    <row r="5" spans="1:13" x14ac:dyDescent="0.25">
      <c r="A5">
        <v>160</v>
      </c>
      <c r="C5" s="1" t="s">
        <v>15</v>
      </c>
      <c r="D5" s="1" t="s">
        <v>16</v>
      </c>
      <c r="G5">
        <v>164.5</v>
      </c>
      <c r="H5" s="2" t="s">
        <v>28</v>
      </c>
      <c r="I5">
        <v>14</v>
      </c>
      <c r="J5">
        <f t="shared" si="0"/>
        <v>0.27450980392156865</v>
      </c>
      <c r="L5" s="2">
        <v>16</v>
      </c>
      <c r="M5" t="str">
        <f t="shared" ref="M5" si="1">REPT("0",COUNTIF($A$2:$A$52,L5*10+0))&amp;REPT("1",COUNTIF($A$2:$A$52,L5*10+1))&amp;REPT("2",COUNTIF($A$2:$A$52,L5*10+2))&amp;REPT("3",COUNTIF($A$2:$A$52,L5*10+3))&amp;REPT("4",COUNTIF($A$2:$A$52,L5*10+4))</f>
        <v>00000001223334</v>
      </c>
    </row>
    <row r="6" spans="1:13" x14ac:dyDescent="0.25">
      <c r="A6">
        <v>158</v>
      </c>
      <c r="C6">
        <v>15</v>
      </c>
      <c r="D6" t="str">
        <f>REPT("0",COUNTIF($A$2:$A$52,C6*10+0))&amp;REPT("1",COUNTIF($A$2:$A$52,C6*10+1))&amp;REPT("2",COUNTIF($A$2:$A$52,C6*10+2))&amp;REPT("3",COUNTIF($A$2:$A$52,C6*10+3))&amp;REPT("4",COUNTIF($A$2:$A$52,C6*10+4))&amp;REPT("5",COUNTIF($A$2:$A$52,C6*10+5))&amp;REPT("6",COUNTIF($A$2:$A$52,C6*10+6))&amp;REPT("7",COUNTIF($A$2:$A$52,C6*10+7))&amp;REPT("8",COUNTIF($A$2:$A$52,C6*10+8))&amp;REPT("9",COUNTIF($A$2:$A$52,C6*10+9))</f>
        <v>288889</v>
      </c>
      <c r="G6">
        <v>169.5</v>
      </c>
      <c r="H6" s="2" t="s">
        <v>29</v>
      </c>
      <c r="I6">
        <v>8</v>
      </c>
      <c r="J6">
        <f t="shared" si="0"/>
        <v>0.15686274509803921</v>
      </c>
      <c r="L6" s="2">
        <v>16</v>
      </c>
      <c r="M6" t="str">
        <f t="shared" ref="M6" si="2">REPT("5",COUNTIF($A$2:$A$52,L6*10+5))&amp;REPT("6",COUNTIF($A$2:$A$52,L6*10+6))&amp;REPT("7",COUNTIF($A$2:$A$52,L6*10+7))&amp;REPT("8",COUNTIF($A$2:$A$52,L6*10+8))&amp;REPT("9",COUNTIF($A$2:$A$52,L6*10+9))</f>
        <v>56777899</v>
      </c>
    </row>
    <row r="7" spans="1:13" x14ac:dyDescent="0.25">
      <c r="A7">
        <v>169</v>
      </c>
      <c r="C7">
        <v>16</v>
      </c>
      <c r="D7" t="str">
        <f t="shared" ref="D7:D9" si="3">REPT("0",COUNTIF($A$2:$A$52,C7*10+0))&amp;REPT("1",COUNTIF($A$2:$A$52,C7*10+1))&amp;REPT("2",COUNTIF($A$2:$A$52,C7*10+2))&amp;REPT("3",COUNTIF($A$2:$A$52,C7*10+3))&amp;REPT("4",COUNTIF($A$2:$A$52,C7*10+4))&amp;REPT("5",COUNTIF($A$2:$A$52,C7*10+5))&amp;REPT("6",COUNTIF($A$2:$A$52,C7*10+6))&amp;REPT("7",COUNTIF($A$2:$A$52,C7*10+7))&amp;REPT("8",COUNTIF($A$2:$A$52,C7*10+8))&amp;REPT("9",COUNTIF($A$2:$A$52,C7*10+9))</f>
        <v>0000000122333456777899</v>
      </c>
      <c r="G7">
        <v>174.5</v>
      </c>
      <c r="H7" s="2" t="s">
        <v>30</v>
      </c>
      <c r="I7">
        <v>12</v>
      </c>
      <c r="J7">
        <f t="shared" si="0"/>
        <v>0.23529411764705882</v>
      </c>
      <c r="L7" s="2">
        <v>17</v>
      </c>
      <c r="M7" t="str">
        <f t="shared" ref="M7" si="4">REPT("0",COUNTIF($A$2:$A$52,L7*10+0))&amp;REPT("1",COUNTIF($A$2:$A$52,L7*10+1))&amp;REPT("2",COUNTIF($A$2:$A$52,L7*10+2))&amp;REPT("3",COUNTIF($A$2:$A$52,L7*10+3))&amp;REPT("4",COUNTIF($A$2:$A$52,L7*10+4))</f>
        <v>000011133344</v>
      </c>
    </row>
    <row r="8" spans="1:13" x14ac:dyDescent="0.25">
      <c r="A8">
        <v>162</v>
      </c>
      <c r="C8">
        <v>17</v>
      </c>
      <c r="D8" t="str">
        <f t="shared" si="3"/>
        <v>0000111333446778889</v>
      </c>
      <c r="G8">
        <v>179.5</v>
      </c>
      <c r="H8" s="2" t="s">
        <v>31</v>
      </c>
      <c r="I8">
        <v>7</v>
      </c>
      <c r="J8">
        <f t="shared" si="0"/>
        <v>0.13725490196078433</v>
      </c>
      <c r="L8" s="2">
        <v>17</v>
      </c>
      <c r="M8" t="str">
        <f t="shared" ref="M8" si="5">REPT("5",COUNTIF($A$2:$A$52,L8*10+5))&amp;REPT("6",COUNTIF($A$2:$A$52,L8*10+6))&amp;REPT("7",COUNTIF($A$2:$A$52,L8*10+7))&amp;REPT("8",COUNTIF($A$2:$A$52,L8*10+8))&amp;REPT("9",COUNTIF($A$2:$A$52,L8*10+9))</f>
        <v>6778889</v>
      </c>
    </row>
    <row r="9" spans="1:13" x14ac:dyDescent="0.25">
      <c r="A9">
        <v>179</v>
      </c>
      <c r="C9">
        <v>18</v>
      </c>
      <c r="D9" t="str">
        <f t="shared" si="3"/>
        <v>0013</v>
      </c>
      <c r="G9">
        <v>184.5</v>
      </c>
      <c r="H9" s="2" t="s">
        <v>32</v>
      </c>
      <c r="I9">
        <v>4</v>
      </c>
      <c r="J9">
        <f t="shared" si="0"/>
        <v>7.8431372549019607E-2</v>
      </c>
      <c r="L9" s="2">
        <v>18</v>
      </c>
      <c r="M9" t="str">
        <f t="shared" ref="M9" si="6">REPT("0",COUNTIF($A$2:$A$52,L9*10+0))&amp;REPT("1",COUNTIF($A$2:$A$52,L9*10+1))&amp;REPT("2",COUNTIF($A$2:$A$52,L9*10+2))&amp;REPT("3",COUNTIF($A$2:$A$52,L9*10+3))&amp;REPT("4",COUNTIF($A$2:$A$52,L9*10+4))</f>
        <v>0013</v>
      </c>
    </row>
    <row r="10" spans="1:13" x14ac:dyDescent="0.25">
      <c r="A10">
        <v>183</v>
      </c>
      <c r="I10">
        <f>SUM(I3:I9)</f>
        <v>51</v>
      </c>
      <c r="J10">
        <f t="shared" si="0"/>
        <v>1</v>
      </c>
      <c r="L10" s="2">
        <v>18</v>
      </c>
      <c r="M10" t="str">
        <f t="shared" ref="M10" si="7">REPT("5",COUNTIF($A$2:$A$52,L10*10+5))&amp;REPT("6",COUNTIF($A$2:$A$52,L10*10+6))&amp;REPT("7",COUNTIF($A$2:$A$52,L10*10+7))&amp;REPT("8",COUNTIF($A$2:$A$52,L10*10+8))&amp;REPT("9",COUNTIF($A$2:$A$52,L10*10+9))</f>
        <v/>
      </c>
    </row>
    <row r="11" spans="1:13" x14ac:dyDescent="0.25">
      <c r="A11">
        <v>178</v>
      </c>
    </row>
    <row r="12" spans="1:13" x14ac:dyDescent="0.25">
      <c r="A12">
        <v>171</v>
      </c>
    </row>
    <row r="13" spans="1:13" x14ac:dyDescent="0.25">
      <c r="A13">
        <v>177</v>
      </c>
    </row>
    <row r="14" spans="1:13" x14ac:dyDescent="0.25">
      <c r="A14">
        <v>163</v>
      </c>
      <c r="C14" s="1" t="s">
        <v>15</v>
      </c>
      <c r="D14" s="1" t="s">
        <v>15</v>
      </c>
      <c r="E14" s="1" t="s">
        <v>16</v>
      </c>
    </row>
    <row r="15" spans="1:13" x14ac:dyDescent="0.25">
      <c r="A15">
        <v>158</v>
      </c>
      <c r="C15" s="1" t="s">
        <v>17</v>
      </c>
      <c r="D15">
        <v>15</v>
      </c>
      <c r="E15" t="str">
        <f>REPT("0",COUNTIF($A$2:$A$52, D15*10+0))&amp;REPT("1",COUNTIF($A$2:$A$52, D15*10+1))&amp;REPT("2",COUNTIF($A$2:$A$52, D15*10+2))&amp;REPT("3",COUNTIF($A$2:$A$52, D15*10+3))&amp;REPT("4",COUNTIF($A$2:$A$52, D15*10+4))</f>
        <v>2</v>
      </c>
    </row>
    <row r="16" spans="1:13" x14ac:dyDescent="0.25">
      <c r="A16">
        <v>160</v>
      </c>
      <c r="C16" s="1" t="s">
        <v>18</v>
      </c>
      <c r="D16">
        <v>15</v>
      </c>
      <c r="E16" t="str">
        <f>REPT("5",COUNTIF($A$2:$A$52, D16*10+5))&amp;REPT("6",COUNTIF($A$2:$A$52, D16*10+6))&amp;REPT("7",COUNTIF($A$2:$A$52, D16*10+7))&amp;REPT("8",COUNTIF($A$2:$A$52, D16*10+8))&amp;REPT("9",COUNTIF($A$2:$A$52, D16*10+9))</f>
        <v>88889</v>
      </c>
    </row>
    <row r="17" spans="1:5" x14ac:dyDescent="0.25">
      <c r="A17">
        <v>160</v>
      </c>
      <c r="C17" s="1" t="s">
        <v>19</v>
      </c>
      <c r="D17">
        <v>16</v>
      </c>
      <c r="E17" t="str">
        <f t="shared" ref="E17" si="8">REPT("0",COUNTIF($A$2:$A$52, D17*10+0))&amp;REPT("1",COUNTIF($A$2:$A$52, D17*10+1))&amp;REPT("2",COUNTIF($A$2:$A$52, D17*10+2))&amp;REPT("3",COUNTIF($A$2:$A$52, D17*10+3))&amp;REPT("4",COUNTIF($A$2:$A$52, D17*10+4))</f>
        <v>00000001223334</v>
      </c>
    </row>
    <row r="18" spans="1:5" x14ac:dyDescent="0.25">
      <c r="A18">
        <v>158</v>
      </c>
      <c r="C18" s="1" t="s">
        <v>20</v>
      </c>
      <c r="D18">
        <v>16</v>
      </c>
      <c r="E18" t="str">
        <f t="shared" ref="E18" si="9">REPT("5",COUNTIF($A$2:$A$52, D18*10+5))&amp;REPT("6",COUNTIF($A$2:$A$52, D18*10+6))&amp;REPT("7",COUNTIF($A$2:$A$52, D18*10+7))&amp;REPT("8",COUNTIF($A$2:$A$52, D18*10+8))&amp;REPT("9",COUNTIF($A$2:$A$52, D18*10+9))</f>
        <v>56777899</v>
      </c>
    </row>
    <row r="19" spans="1:5" x14ac:dyDescent="0.25">
      <c r="A19">
        <v>174</v>
      </c>
      <c r="C19" s="1" t="s">
        <v>19</v>
      </c>
      <c r="D19">
        <v>17</v>
      </c>
      <c r="E19" t="str">
        <f t="shared" ref="E19" si="10">REPT("0",COUNTIF($A$2:$A$52, D19*10+0))&amp;REPT("1",COUNTIF($A$2:$A$52, D19*10+1))&amp;REPT("2",COUNTIF($A$2:$A$52, D19*10+2))&amp;REPT("3",COUNTIF($A$2:$A$52, D19*10+3))&amp;REPT("4",COUNTIF($A$2:$A$52, D19*10+4))</f>
        <v>000011133344</v>
      </c>
    </row>
    <row r="20" spans="1:5" x14ac:dyDescent="0.25">
      <c r="A20">
        <v>160</v>
      </c>
      <c r="C20" s="1" t="s">
        <v>20</v>
      </c>
      <c r="D20">
        <v>17</v>
      </c>
      <c r="E20" t="str">
        <f t="shared" ref="E20" si="11">REPT("5",COUNTIF($A$2:$A$52, D20*10+5))&amp;REPT("6",COUNTIF($A$2:$A$52, D20*10+6))&amp;REPT("7",COUNTIF($A$2:$A$52, D20*10+7))&amp;REPT("8",COUNTIF($A$2:$A$52, D20*10+8))&amp;REPT("9",COUNTIF($A$2:$A$52, D20*10+9))</f>
        <v>6778889</v>
      </c>
    </row>
    <row r="21" spans="1:5" x14ac:dyDescent="0.25">
      <c r="A21">
        <v>163</v>
      </c>
      <c r="C21" s="1" t="s">
        <v>21</v>
      </c>
      <c r="D21">
        <v>18</v>
      </c>
      <c r="E21" t="str">
        <f t="shared" ref="E21" si="12">REPT("0",COUNTIF($A$2:$A$52, D21*10+0))&amp;REPT("1",COUNTIF($A$2:$A$52, D21*10+1))&amp;REPT("2",COUNTIF($A$2:$A$52, D21*10+2))&amp;REPT("3",COUNTIF($A$2:$A$52, D21*10+3))&amp;REPT("4",COUNTIF($A$2:$A$52, D21*10+4))</f>
        <v>0013</v>
      </c>
    </row>
    <row r="22" spans="1:5" x14ac:dyDescent="0.25">
      <c r="A22">
        <v>167</v>
      </c>
      <c r="C22" s="1" t="s">
        <v>22</v>
      </c>
      <c r="D22">
        <v>18</v>
      </c>
      <c r="E22" t="str">
        <f t="shared" ref="E22" si="13">REPT("5",COUNTIF($A$2:$A$52, D22*10+5))&amp;REPT("6",COUNTIF($A$2:$A$52, D22*10+6))&amp;REPT("7",COUNTIF($A$2:$A$52, D22*10+7))&amp;REPT("8",COUNTIF($A$2:$A$52, D22*10+8))&amp;REPT("9",COUNTIF($A$2:$A$52, D22*10+9))</f>
        <v/>
      </c>
    </row>
    <row r="23" spans="1:5" x14ac:dyDescent="0.25">
      <c r="A23">
        <v>165</v>
      </c>
    </row>
    <row r="24" spans="1:5" x14ac:dyDescent="0.25">
      <c r="A24">
        <v>163</v>
      </c>
    </row>
    <row r="25" spans="1:5" x14ac:dyDescent="0.25">
      <c r="A25">
        <v>173</v>
      </c>
    </row>
    <row r="26" spans="1:5" x14ac:dyDescent="0.25">
      <c r="A26">
        <v>178</v>
      </c>
    </row>
    <row r="27" spans="1:5" x14ac:dyDescent="0.25">
      <c r="A27">
        <v>170</v>
      </c>
    </row>
    <row r="28" spans="1:5" x14ac:dyDescent="0.25">
      <c r="A28">
        <v>167</v>
      </c>
    </row>
    <row r="29" spans="1:5" x14ac:dyDescent="0.25">
      <c r="A29">
        <v>177</v>
      </c>
    </row>
    <row r="30" spans="1:5" x14ac:dyDescent="0.25">
      <c r="A30">
        <v>176</v>
      </c>
    </row>
    <row r="31" spans="1:5" x14ac:dyDescent="0.25">
      <c r="A31">
        <v>170</v>
      </c>
    </row>
    <row r="32" spans="1:5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2005-03-05T11:25:38Z</dcterms:created>
  <dcterms:modified xsi:type="dcterms:W3CDTF">2026-04-26T07:14:23Z</dcterms:modified>
</cp:coreProperties>
</file>