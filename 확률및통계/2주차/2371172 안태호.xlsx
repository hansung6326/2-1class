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_class\확률및통계\2주차\"/>
    </mc:Choice>
  </mc:AlternateContent>
  <xr:revisionPtr revIDLastSave="0" documentId="13_ncr:1_{726BDB20-7DA5-489D-8E79-65F1CFAB1206}" xr6:coauthVersionLast="47" xr6:coauthVersionMax="47" xr10:uidLastSave="{00000000-0000-0000-0000-000000000000}"/>
  <bookViews>
    <workbookView xWindow="-110" yWindow="-110" windowWidth="25820" windowHeight="15500" xr2:uid="{3F9DB6AC-EAAC-492C-BAE2-07C031421F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9" i="1"/>
  <c r="J10" i="1"/>
  <c r="J11" i="1"/>
  <c r="J12" i="1"/>
  <c r="J13" i="1"/>
  <c r="J7" i="1"/>
  <c r="J6" i="1"/>
  <c r="I7" i="1"/>
  <c r="I8" i="1"/>
  <c r="I9" i="1"/>
  <c r="I10" i="1"/>
  <c r="I11" i="1"/>
  <c r="I12" i="1"/>
  <c r="I13" i="1"/>
  <c r="I6" i="1"/>
  <c r="E6" i="1" l="1" a="1"/>
  <c r="E6" i="1" s="1"/>
  <c r="E25" i="1"/>
  <c r="E23" i="1"/>
  <c r="E21" i="1"/>
  <c r="E19" i="1"/>
  <c r="E17" i="1"/>
  <c r="E18" i="1"/>
  <c r="E26" i="1"/>
  <c r="E24" i="1"/>
  <c r="E22" i="1"/>
  <c r="E20" i="1"/>
  <c r="E16" i="1"/>
  <c r="F7" i="1" l="1"/>
  <c r="F8" i="1"/>
  <c r="F9" i="1"/>
  <c r="F10" i="1"/>
  <c r="F11" i="1"/>
  <c r="F12" i="1"/>
  <c r="F6" i="1"/>
  <c r="F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<sst xmlns="http://schemas.openxmlformats.org/spreadsheetml/2006/main" count="11" uniqueCount="10">
  <si>
    <t>계급</t>
  </si>
  <si>
    <t>기타</t>
  </si>
  <si>
    <t>빈도수</t>
  </si>
  <si>
    <t>상대 도수</t>
    <phoneticPr fontId="1" type="noConversion"/>
  </si>
  <si>
    <t>줄기</t>
    <phoneticPr fontId="1" type="noConversion"/>
  </si>
  <si>
    <t>잎</t>
    <phoneticPr fontId="1" type="noConversion"/>
  </si>
  <si>
    <t>줄기-잎 그림은 데이터를 순서대로 나열하기 때문에 최솟값, 최댓값, 그리고 중간값을 찾기 매우 쉽고 데이터의 정확한 값을 알 수 있다는 장점이 있고, 히스토그램은 한 눈에 봤을 때 어느 구간에 데이터가 가장 많이 몰려있는지를 쉽게 파악할 수 있다</t>
    <phoneticPr fontId="1" type="noConversion"/>
  </si>
  <si>
    <t>기타</t>
    <phoneticPr fontId="1" type="noConversion"/>
  </si>
  <si>
    <t>상대도수</t>
    <phoneticPr fontId="1" type="noConversion"/>
  </si>
  <si>
    <t>누적상대도수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</si>
</sst>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176" fontId="0" fillId="0" borderId="5" xfId="0" applyNumberForma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176" fontId="0" fillId="0" borderId="8" xfId="0" applyNumberFormat="1" applyBorder="1">
      <alignment vertical="center"/>
    </xf>
    <xf numFmtId="0" fontId="0" fillId="0" borderId="9" xfId="0" applyBorder="1">
      <alignment vertical="center"/>
    </xf>
    <xf numFmtId="0" fontId="0" fillId="0" borderId="0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히스토그램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빈도수</c:v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Sheet1!$D$6:$D$13</c15:sqref>
                  </c15:fullRef>
                </c:ext>
              </c:extLst>
              <c:f>Sheet1!$D$6:$D$12</c:f>
              <c:strCache>
                <c:ptCount val="7"/>
                <c:pt idx="0">
                  <c:v>47.5</c:v>
                </c:pt>
                <c:pt idx="1">
                  <c:v>55.5</c:v>
                </c:pt>
                <c:pt idx="2">
                  <c:v>63.5</c:v>
                </c:pt>
                <c:pt idx="3">
                  <c:v>71.5</c:v>
                </c:pt>
                <c:pt idx="4">
                  <c:v>79.5</c:v>
                </c:pt>
                <c:pt idx="5">
                  <c:v>87.5</c:v>
                </c:pt>
                <c:pt idx="6">
                  <c:v>95.5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Sheet1!$E$6:$E$13</c15:sqref>
                  </c15:fullRef>
                </c:ext>
              </c:extLst>
              <c:f>Sheet1!$E$6:$E$12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8</c:v>
                </c:pt>
                <c:pt idx="3">
                  <c:v>2</c:v>
                </c:pt>
                <c:pt idx="4">
                  <c:v>5</c:v>
                </c:pt>
                <c:pt idx="5">
                  <c:v>11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64-4B61-8D06-2B0981830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0977520"/>
        <c:axId val="1970978480"/>
      </c:barChart>
      <c:catAx>
        <c:axId val="1970977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계급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70978480"/>
        <c:crosses val="autoZero"/>
        <c:auto val="1"/>
        <c:lblAlgn val="ctr"/>
        <c:lblOffset val="100"/>
        <c:noMultiLvlLbl val="0"/>
      </c:catAx>
      <c:valAx>
        <c:axId val="19709784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빈도수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70977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상대도수다각형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빈도수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Sheet1!$D$6:$D$12</c:f>
              <c:numCache>
                <c:formatCode>General</c:formatCode>
                <c:ptCount val="7"/>
                <c:pt idx="0">
                  <c:v>47.5</c:v>
                </c:pt>
                <c:pt idx="1">
                  <c:v>55.5</c:v>
                </c:pt>
                <c:pt idx="2">
                  <c:v>63.5</c:v>
                </c:pt>
                <c:pt idx="3">
                  <c:v>71.5</c:v>
                </c:pt>
                <c:pt idx="4">
                  <c:v>79.5</c:v>
                </c:pt>
                <c:pt idx="5">
                  <c:v>87.5</c:v>
                </c:pt>
                <c:pt idx="6">
                  <c:v>95.5</c:v>
                </c:pt>
              </c:numCache>
            </c:numRef>
          </c:cat>
          <c:val>
            <c:numRef>
              <c:f>Sheet1!$F$6:$F$12</c:f>
              <c:numCache>
                <c:formatCode>0.000</c:formatCode>
                <c:ptCount val="7"/>
                <c:pt idx="0">
                  <c:v>2.8571428571428571E-2</c:v>
                </c:pt>
                <c:pt idx="1">
                  <c:v>8.5714285714285715E-2</c:v>
                </c:pt>
                <c:pt idx="2">
                  <c:v>0.22857142857142856</c:v>
                </c:pt>
                <c:pt idx="3">
                  <c:v>5.7142857142857141E-2</c:v>
                </c:pt>
                <c:pt idx="4">
                  <c:v>0.14285714285714285</c:v>
                </c:pt>
                <c:pt idx="5">
                  <c:v>0.31428571428571428</c:v>
                </c:pt>
                <c:pt idx="6">
                  <c:v>0.14285714285714285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C3-45C6-9042-7310D3D4D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88944"/>
        <c:axId val="28172624"/>
      </c:lineChart>
      <c:catAx>
        <c:axId val="2818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172624"/>
        <c:crosses val="autoZero"/>
        <c:auto val="1"/>
        <c:lblAlgn val="ctr"/>
        <c:lblOffset val="100"/>
        <c:noMultiLvlLbl val="0"/>
      </c:catAx>
      <c:valAx>
        <c:axId val="2817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18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파레토그림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빈도수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Sheet1!$G$6:$G$13</c:f>
              <c:strCache>
                <c:ptCount val="8"/>
                <c:pt idx="0">
                  <c:v>87.5</c:v>
                </c:pt>
                <c:pt idx="1">
                  <c:v>63.5</c:v>
                </c:pt>
                <c:pt idx="2">
                  <c:v>79.5</c:v>
                </c:pt>
                <c:pt idx="3">
                  <c:v>95.5</c:v>
                </c:pt>
                <c:pt idx="4">
                  <c:v>55.5</c:v>
                </c:pt>
                <c:pt idx="5">
                  <c:v>71.5</c:v>
                </c:pt>
                <c:pt idx="6">
                  <c:v>47.5</c:v>
                </c:pt>
                <c:pt idx="7">
                  <c:v>기타</c:v>
                </c:pt>
              </c:strCache>
            </c:strRef>
          </c:cat>
          <c:val>
            <c:numRef>
              <c:f>Sheet1!$H$6:$H$13</c:f>
              <c:numCache>
                <c:formatCode>General</c:formatCode>
                <c:ptCount val="8"/>
                <c:pt idx="0">
                  <c:v>11</c:v>
                </c:pt>
                <c:pt idx="1">
                  <c:v>8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1-4805-BAA1-C42A9EECE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3611871"/>
        <c:axId val="93611391"/>
      </c:barChart>
      <c:lineChart>
        <c:grouping val="standard"/>
        <c:varyColors val="0"/>
        <c:ser>
          <c:idx val="1"/>
          <c:order val="1"/>
          <c:tx>
            <c:v>누적상대도수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Sheet1!$J$6:$J$13</c:f>
              <c:numCache>
                <c:formatCode>General</c:formatCode>
                <c:ptCount val="8"/>
                <c:pt idx="0">
                  <c:v>0.31428571428571428</c:v>
                </c:pt>
                <c:pt idx="1">
                  <c:v>0.54285714285714282</c:v>
                </c:pt>
                <c:pt idx="2">
                  <c:v>0.68571428571428572</c:v>
                </c:pt>
                <c:pt idx="3">
                  <c:v>0.82857142857142851</c:v>
                </c:pt>
                <c:pt idx="4">
                  <c:v>0.91428571428571426</c:v>
                </c:pt>
                <c:pt idx="5">
                  <c:v>0.97142857142857142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A1-4805-BAA1-C42A9EECE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423231"/>
        <c:axId val="176421791"/>
      </c:lineChart>
      <c:catAx>
        <c:axId val="93611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계급구간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3611391"/>
        <c:crosses val="autoZero"/>
        <c:auto val="1"/>
        <c:lblAlgn val="ctr"/>
        <c:lblOffset val="100"/>
        <c:noMultiLvlLbl val="0"/>
      </c:catAx>
      <c:valAx>
        <c:axId val="9361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빈도수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3611871"/>
        <c:crosses val="autoZero"/>
        <c:crossBetween val="between"/>
      </c:valAx>
      <c:valAx>
        <c:axId val="17642179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6423231"/>
        <c:crosses val="max"/>
        <c:crossBetween val="between"/>
      </c:valAx>
      <c:catAx>
        <c:axId val="176423231"/>
        <c:scaling>
          <c:orientation val="minMax"/>
        </c:scaling>
        <c:delete val="1"/>
        <c:axPos val="b"/>
        <c:majorTickMark val="out"/>
        <c:minorTickMark val="none"/>
        <c:tickLblPos val="nextTo"/>
        <c:crossAx val="17642179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1</xdr:row>
      <xdr:rowOff>171450</xdr:rowOff>
    </xdr:from>
    <xdr:to>
      <xdr:col>16</xdr:col>
      <xdr:colOff>228600</xdr:colOff>
      <xdr:row>11</xdr:row>
      <xdr:rowOff>165100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2C6A24F2-34A1-91A1-4C96-4EDF3B507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130175</xdr:colOff>
      <xdr:row>14</xdr:row>
      <xdr:rowOff>31750</xdr:rowOff>
    </xdr:from>
    <xdr:to>
      <xdr:col>13</xdr:col>
      <xdr:colOff>79375</xdr:colOff>
      <xdr:row>26</xdr:row>
      <xdr:rowOff>184150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F0E3704-C624-7428-4AD5-85D72AB4C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333375</xdr:colOff>
      <xdr:row>13</xdr:row>
      <xdr:rowOff>171450</xdr:rowOff>
    </xdr:from>
    <xdr:to>
      <xdr:col>20</xdr:col>
      <xdr:colOff>282575</xdr:colOff>
      <xdr:row>26</xdr:row>
      <xdr:rowOff>107950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7BCF481-8104-7D89-B116-C9B06E700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0BEF5-CADC-4093-AD3F-E3D3A00A3EF0}">
  <dimension ref="A1:J35"/>
  <sheetViews>
    <sheetView tabSelected="1" workbookViewId="0">
      <selection activeCell="D3" sqref="D3"/>
    </sheetView>
  </sheetViews>
  <sheetFormatPr defaultRowHeight="17" x14ac:dyDescent="0.45"/>
  <cols>
    <col min="6" max="6" width="9.58203125" bestFit="1" customWidth="1"/>
    <col min="10" max="10" width="12.33203125" bestFit="1" customWidth="1"/>
  </cols>
  <sheetData>
    <row r="1" spans="1:10" x14ac:dyDescent="0.45">
      <c r="A1">
        <v>54</v>
      </c>
    </row>
    <row r="2" spans="1:10" x14ac:dyDescent="0.45">
      <c r="A2">
        <v>80</v>
      </c>
    </row>
    <row r="3" spans="1:10" x14ac:dyDescent="0.45">
      <c r="A3">
        <v>83</v>
      </c>
    </row>
    <row r="4" spans="1:10" x14ac:dyDescent="0.45">
      <c r="A4">
        <v>42</v>
      </c>
    </row>
    <row r="5" spans="1:10" x14ac:dyDescent="0.45">
      <c r="A5">
        <v>86</v>
      </c>
      <c r="D5" s="5" t="s">
        <v>0</v>
      </c>
      <c r="E5" s="1" t="s">
        <v>2</v>
      </c>
      <c r="F5" s="11" t="s">
        <v>3</v>
      </c>
      <c r="H5" s="1" t="s">
        <v>2</v>
      </c>
      <c r="I5" s="12" t="s">
        <v>8</v>
      </c>
      <c r="J5" s="12" t="s">
        <v>9</v>
      </c>
    </row>
    <row r="6" spans="1:10" x14ac:dyDescent="0.45">
      <c r="A6">
        <v>63</v>
      </c>
      <c r="D6" s="6">
        <v>47.5</v>
      </c>
      <c r="E6" cm="1">
        <f t="array" ref="E6:E13">FREQUENCY(A1:A35,D6:D12)</f>
        <v>1</v>
      </c>
      <c r="F6" s="7">
        <f>E6/SUM($E$6:$E$12)</f>
        <v>2.8571428571428571E-2</v>
      </c>
      <c r="G6">
        <v>87.5</v>
      </c>
      <c r="H6">
        <v>11</v>
      </c>
      <c r="I6">
        <f>H6/SUM($H$6:$H$12)</f>
        <v>0.31428571428571428</v>
      </c>
      <c r="J6">
        <f>I6</f>
        <v>0.31428571428571428</v>
      </c>
    </row>
    <row r="7" spans="1:10" x14ac:dyDescent="0.45">
      <c r="A7">
        <v>63</v>
      </c>
      <c r="D7" s="6">
        <v>55.5</v>
      </c>
      <c r="E7">
        <v>3</v>
      </c>
      <c r="F7" s="7">
        <f t="shared" ref="F7:F12" si="0">E7/SUM($E$6:$E$12)</f>
        <v>8.5714285714285715E-2</v>
      </c>
      <c r="G7">
        <v>63.5</v>
      </c>
      <c r="H7">
        <v>8</v>
      </c>
      <c r="I7">
        <f t="shared" ref="I7:I13" si="1">H7/SUM($H$6:$H$12)</f>
        <v>0.22857142857142856</v>
      </c>
      <c r="J7">
        <f>J6+I7</f>
        <v>0.54285714285714282</v>
      </c>
    </row>
    <row r="8" spans="1:10" x14ac:dyDescent="0.45">
      <c r="A8">
        <v>57</v>
      </c>
      <c r="D8" s="6">
        <v>63.5</v>
      </c>
      <c r="E8">
        <v>8</v>
      </c>
      <c r="F8" s="7">
        <f t="shared" si="0"/>
        <v>0.22857142857142856</v>
      </c>
      <c r="G8">
        <v>79.5</v>
      </c>
      <c r="H8">
        <v>5</v>
      </c>
      <c r="I8">
        <f t="shared" si="1"/>
        <v>0.14285714285714285</v>
      </c>
      <c r="J8">
        <f t="shared" ref="J8:J13" si="2">J7+I8</f>
        <v>0.68571428571428572</v>
      </c>
    </row>
    <row r="9" spans="1:10" x14ac:dyDescent="0.45">
      <c r="A9">
        <v>71</v>
      </c>
      <c r="D9" s="6">
        <v>71.5</v>
      </c>
      <c r="E9">
        <v>2</v>
      </c>
      <c r="F9" s="7">
        <f t="shared" si="0"/>
        <v>5.7142857142857141E-2</v>
      </c>
      <c r="G9">
        <v>95.5</v>
      </c>
      <c r="H9">
        <v>5</v>
      </c>
      <c r="I9">
        <f t="shared" si="1"/>
        <v>0.14285714285714285</v>
      </c>
      <c r="J9">
        <f t="shared" si="2"/>
        <v>0.82857142857142851</v>
      </c>
    </row>
    <row r="10" spans="1:10" x14ac:dyDescent="0.45">
      <c r="A10">
        <v>84</v>
      </c>
      <c r="D10" s="6">
        <v>79.5</v>
      </c>
      <c r="E10">
        <v>5</v>
      </c>
      <c r="F10" s="7">
        <f t="shared" si="0"/>
        <v>0.14285714285714285</v>
      </c>
      <c r="G10">
        <v>55.5</v>
      </c>
      <c r="H10">
        <v>3</v>
      </c>
      <c r="I10">
        <f t="shared" si="1"/>
        <v>8.5714285714285715E-2</v>
      </c>
      <c r="J10">
        <f t="shared" si="2"/>
        <v>0.91428571428571426</v>
      </c>
    </row>
    <row r="11" spans="1:10" x14ac:dyDescent="0.45">
      <c r="A11">
        <v>77</v>
      </c>
      <c r="D11" s="6">
        <v>87.5</v>
      </c>
      <c r="E11">
        <v>11</v>
      </c>
      <c r="F11" s="7">
        <f t="shared" si="0"/>
        <v>0.31428571428571428</v>
      </c>
      <c r="G11">
        <v>71.5</v>
      </c>
      <c r="H11">
        <v>2</v>
      </c>
      <c r="I11">
        <f t="shared" si="1"/>
        <v>5.7142857142857141E-2</v>
      </c>
      <c r="J11">
        <f t="shared" si="2"/>
        <v>0.97142857142857142</v>
      </c>
    </row>
    <row r="12" spans="1:10" x14ac:dyDescent="0.45">
      <c r="A12">
        <v>59</v>
      </c>
      <c r="D12" s="6">
        <v>95.5</v>
      </c>
      <c r="E12">
        <v>5</v>
      </c>
      <c r="F12" s="7">
        <f t="shared" si="0"/>
        <v>0.14285714285714285</v>
      </c>
      <c r="G12">
        <v>47.5</v>
      </c>
      <c r="H12">
        <v>1</v>
      </c>
      <c r="I12">
        <f t="shared" si="1"/>
        <v>2.8571428571428571E-2</v>
      </c>
      <c r="J12">
        <f t="shared" si="2"/>
        <v>1</v>
      </c>
    </row>
    <row r="13" spans="1:10" x14ac:dyDescent="0.45">
      <c r="A13">
        <v>90</v>
      </c>
      <c r="D13" s="8" t="s">
        <v>1</v>
      </c>
      <c r="E13" s="9">
        <v>0</v>
      </c>
      <c r="F13" s="10">
        <f>SUM(F6:F12)</f>
        <v>1</v>
      </c>
      <c r="G13" t="s">
        <v>7</v>
      </c>
      <c r="H13" s="9">
        <v>0</v>
      </c>
      <c r="I13">
        <f t="shared" si="1"/>
        <v>0</v>
      </c>
      <c r="J13">
        <f t="shared" si="2"/>
        <v>1</v>
      </c>
    </row>
    <row r="14" spans="1:10" x14ac:dyDescent="0.45">
      <c r="A14">
        <v>73</v>
      </c>
    </row>
    <row r="15" spans="1:10" x14ac:dyDescent="0.45">
      <c r="A15">
        <v>81</v>
      </c>
      <c r="D15" s="3" t="s">
        <v>4</v>
      </c>
      <c r="E15" s="3" t="s">
        <v>5</v>
      </c>
    </row>
    <row r="16" spans="1:10" x14ac:dyDescent="0.45">
      <c r="A16">
        <v>76</v>
      </c>
      <c r="D16" s="4">
        <v>4</v>
      </c>
      <c r="E16" s="2" t="str">
        <f>REPT("0", COUNTIF($A$1:$A$35,D16*10+0))&amp;REPT("1", COUNTIF($A$1:$A$35,D16*10+1))&amp;REPT("2", COUNTIF($A$1:$A$35,D16*10+2))&amp;REPT("3", COUNTIF($A$1:$A$35,D16*10+3))&amp;REPT("4", COUNTIF($A$1:$A$35,D16*10+4))</f>
        <v>2</v>
      </c>
    </row>
    <row r="17" spans="1:5" x14ac:dyDescent="0.45">
      <c r="A17">
        <v>56</v>
      </c>
      <c r="D17" s="4">
        <v>4</v>
      </c>
      <c r="E17" t="str">
        <f>REPT("5", COUNTIF($A$1:$A$35,D17*10+5))&amp;REPT("6", COUNTIF($A$1:$A$35,D17*10+6))&amp;REPT("7", COUNTIF($A$1:$A$35,D17*10+7))&amp;REPT("8", COUNTIF($A$1:$A$35,D17*10+8))&amp;REPT("9", COUNTIF($A$1:$A$35,D17*10+9))</f>
        <v/>
      </c>
    </row>
    <row r="18" spans="1:5" x14ac:dyDescent="0.45">
      <c r="A18">
        <v>81</v>
      </c>
      <c r="D18" s="4">
        <v>5</v>
      </c>
      <c r="E18" s="2" t="str">
        <f>REPT("0", COUNTIF($A$1:$A$35,D18*10+0))&amp;REPT("1", COUNTIF($A$1:$A$35,D18*10+1))&amp;REPT("2", COUNTIF($A$1:$A$35,D18*10+2))&amp;REPT("3", COUNTIF($A$1:$A$35,D18*10+3))&amp;REPT("4", COUNTIF($A$1:$A$35,D18*10+4))</f>
        <v>014</v>
      </c>
    </row>
    <row r="19" spans="1:5" x14ac:dyDescent="0.45">
      <c r="A19">
        <v>85</v>
      </c>
      <c r="D19" s="4">
        <v>5</v>
      </c>
      <c r="E19" t="str">
        <f>REPT("5", COUNTIF($A$1:$A$35,D19*10+5))&amp;REPT("6", COUNTIF($A$1:$A$35,D19*10+6))&amp;REPT("7", COUNTIF($A$1:$A$35,D19*10+7))&amp;REPT("8", COUNTIF($A$1:$A$35,D19*10+8))&amp;REPT("9", COUNTIF($A$1:$A$35,D19*10+9))</f>
        <v>66789</v>
      </c>
    </row>
    <row r="20" spans="1:5" x14ac:dyDescent="0.45">
      <c r="A20">
        <v>51</v>
      </c>
      <c r="D20" s="4">
        <v>6</v>
      </c>
      <c r="E20" s="2" t="str">
        <f>REPT("0", COUNTIF($A$1:$A$35,D20*10+0))&amp;REPT("1", COUNTIF($A$1:$A$35,D20*10+1))&amp;REPT("2", COUNTIF($A$1:$A$35,D20*10+2))&amp;REPT("3", COUNTIF($A$1:$A$35,D20*10+3))&amp;REPT("4", COUNTIF($A$1:$A$35,D20*10+4))</f>
        <v>133</v>
      </c>
    </row>
    <row r="21" spans="1:5" x14ac:dyDescent="0.45">
      <c r="A21">
        <v>94</v>
      </c>
      <c r="D21" s="4">
        <v>6</v>
      </c>
      <c r="E21" t="str">
        <f>REPT("5", COUNTIF($A$1:$A$35,D21*10+5))&amp;REPT("6", COUNTIF($A$1:$A$35,D21*10+6))&amp;REPT("7", COUNTIF($A$1:$A$35,D21*10+7))&amp;REPT("8", COUNTIF($A$1:$A$35,D21*10+8))&amp;REPT("9", COUNTIF($A$1:$A$35,D21*10+9))</f>
        <v>6</v>
      </c>
    </row>
    <row r="22" spans="1:5" x14ac:dyDescent="0.45">
      <c r="A22">
        <v>66</v>
      </c>
      <c r="D22" s="4">
        <v>7</v>
      </c>
      <c r="E22" s="2" t="str">
        <f>REPT("0", COUNTIF($A$1:$A$35,D22*10+0))&amp;REPT("1", COUNTIF($A$1:$A$35,D22*10+1))&amp;REPT("2", COUNTIF($A$1:$A$35,D22*10+2))&amp;REPT("3", COUNTIF($A$1:$A$35,D22*10+3))&amp;REPT("4", COUNTIF($A$1:$A$35,D22*10+4))</f>
        <v>133</v>
      </c>
    </row>
    <row r="23" spans="1:5" x14ac:dyDescent="0.45">
      <c r="A23">
        <v>73</v>
      </c>
      <c r="D23" s="4">
        <v>7</v>
      </c>
      <c r="E23" t="str">
        <f>REPT("5", COUNTIF($A$1:$A$35,D23*10+5))&amp;REPT("6", COUNTIF($A$1:$A$35,D23*10+6))&amp;REPT("7", COUNTIF($A$1:$A$35,D23*10+7))&amp;REPT("8", COUNTIF($A$1:$A$35,D23*10+8))&amp;REPT("9", COUNTIF($A$1:$A$35,D23*10+9))</f>
        <v>678</v>
      </c>
    </row>
    <row r="24" spans="1:5" x14ac:dyDescent="0.45">
      <c r="A24">
        <v>88</v>
      </c>
      <c r="D24" s="4">
        <v>8</v>
      </c>
      <c r="E24" s="2" t="str">
        <f>REPT("0", COUNTIF($A$1:$A$35,D24*10+0))&amp;REPT("1", COUNTIF($A$1:$A$35,D24*10+1))&amp;REPT("2", COUNTIF($A$1:$A$35,D24*10+2))&amp;REPT("3", COUNTIF($A$1:$A$35,D24*10+3))&amp;REPT("4", COUNTIF($A$1:$A$35,D24*10+4))</f>
        <v>01123344</v>
      </c>
    </row>
    <row r="25" spans="1:5" x14ac:dyDescent="0.45">
      <c r="A25">
        <v>89</v>
      </c>
      <c r="D25" s="4">
        <v>8</v>
      </c>
      <c r="E25" t="str">
        <f>REPT("5", COUNTIF($A$1:$A$35,D25*10+5))&amp;REPT("6", COUNTIF($A$1:$A$35,D25*10+6))&amp;REPT("7", COUNTIF($A$1:$A$35,D25*10+7))&amp;REPT("8", COUNTIF($A$1:$A$35,D25*10+8))&amp;REPT("9", COUNTIF($A$1:$A$35,D25*10+9))</f>
        <v>56789</v>
      </c>
    </row>
    <row r="26" spans="1:5" x14ac:dyDescent="0.45">
      <c r="A26">
        <v>87</v>
      </c>
      <c r="D26" s="4">
        <v>9</v>
      </c>
      <c r="E26" s="2" t="str">
        <f>REPT("0", COUNTIF($A$1:$A$35,D26*10+0))&amp;REPT("1", COUNTIF($A$1:$A$35,D26*10+1))&amp;REPT("2", COUNTIF($A$1:$A$35,D26*10+2))&amp;REPT("3", COUNTIF($A$1:$A$35,D26*10+3))&amp;REPT("4", COUNTIF($A$1:$A$35,D26*10+4))</f>
        <v>014</v>
      </c>
    </row>
    <row r="27" spans="1:5" x14ac:dyDescent="0.45">
      <c r="A27">
        <v>56</v>
      </c>
    </row>
    <row r="28" spans="1:5" x14ac:dyDescent="0.45">
      <c r="A28">
        <v>84</v>
      </c>
    </row>
    <row r="29" spans="1:5" x14ac:dyDescent="0.45">
      <c r="A29">
        <v>61</v>
      </c>
      <c r="D29" s="3"/>
    </row>
    <row r="30" spans="1:5" x14ac:dyDescent="0.45">
      <c r="A30">
        <v>78</v>
      </c>
      <c r="D30" t="s">
        <v>6</v>
      </c>
    </row>
    <row r="31" spans="1:5" x14ac:dyDescent="0.45">
      <c r="A31">
        <v>83</v>
      </c>
    </row>
    <row r="32" spans="1:5" x14ac:dyDescent="0.45">
      <c r="A32">
        <v>91</v>
      </c>
    </row>
    <row r="33" spans="1:1" x14ac:dyDescent="0.45">
      <c r="A33">
        <v>58</v>
      </c>
    </row>
    <row r="34" spans="1:1" x14ac:dyDescent="0.45">
      <c r="A34">
        <v>50</v>
      </c>
    </row>
    <row r="35" spans="1:1" x14ac:dyDescent="0.45">
      <c r="A35">
        <v>82</v>
      </c>
    </row>
  </sheetData>
  <sortState xmlns:xlrd2="http://schemas.microsoft.com/office/spreadsheetml/2017/richdata2" ref="D6:D12">
    <sortCondition ref="D6"/>
  </sortState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태호</dc:creator>
  <cp:lastModifiedBy>안 태호</cp:lastModifiedBy>
  <dcterms:created xsi:type="dcterms:W3CDTF">2026-03-19T14:35:49Z</dcterms:created>
  <dcterms:modified xsi:type="dcterms:W3CDTF">2026-04-26T08:22:55Z</dcterms:modified>
</cp:coreProperties>
</file>