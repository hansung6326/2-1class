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pe1\OneDrive\바탕 화면\"/>
    </mc:Choice>
  </mc:AlternateContent>
  <xr:revisionPtr revIDLastSave="0" documentId="8_{1C3EB12B-FB08-4707-BB4D-BF6CD4918A9F}" xr6:coauthVersionLast="47" xr6:coauthVersionMax="47" xr10:uidLastSave="{00000000-0000-0000-0000-000000000000}"/>
  <bookViews>
    <workbookView xWindow="-110" yWindow="-110" windowWidth="38620" windowHeight="21100" xr2:uid="{1261B62B-8F58-450B-89AE-06B51CD5D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22" i="1" l="1"/>
  <c r="AF23" i="1"/>
  <c r="AF24" i="1"/>
  <c r="AF25" i="1"/>
  <c r="AF21" i="1"/>
  <c r="AC22" i="1"/>
  <c r="AC23" i="1"/>
  <c r="AC24" i="1"/>
  <c r="AC25" i="1"/>
  <c r="AC26" i="1"/>
  <c r="AC27" i="1"/>
  <c r="AC28" i="1"/>
  <c r="AC29" i="1"/>
  <c r="AC21" i="1"/>
  <c r="F32" i="1"/>
  <c r="F33" i="1"/>
  <c r="F34" i="1"/>
  <c r="F35" i="1"/>
  <c r="F36" i="1"/>
  <c r="F37" i="1"/>
  <c r="F38" i="1"/>
  <c r="F39" i="1"/>
  <c r="F40" i="1"/>
  <c r="F31" i="1"/>
  <c r="E32" i="1"/>
  <c r="E33" i="1"/>
  <c r="E34" i="1"/>
  <c r="E35" i="1"/>
  <c r="E36" i="1"/>
  <c r="E37" i="1"/>
  <c r="E38" i="1"/>
  <c r="E39" i="1"/>
  <c r="E40" i="1"/>
  <c r="E31" i="1"/>
  <c r="B32" i="1"/>
  <c r="C32" i="1" s="1"/>
  <c r="D32" i="1" s="1"/>
  <c r="B33" i="1"/>
  <c r="C33" i="1" s="1"/>
  <c r="D33" i="1" s="1"/>
  <c r="B34" i="1"/>
  <c r="C34" i="1" s="1"/>
  <c r="D34" i="1" s="1"/>
  <c r="B35" i="1"/>
  <c r="C35" i="1" s="1"/>
  <c r="D35" i="1" s="1"/>
  <c r="B36" i="1"/>
  <c r="C36" i="1" s="1"/>
  <c r="D36" i="1" s="1"/>
  <c r="B37" i="1"/>
  <c r="C37" i="1" s="1"/>
  <c r="D37" i="1" s="1"/>
  <c r="B38" i="1"/>
  <c r="C38" i="1" s="1"/>
  <c r="D38" i="1" s="1"/>
  <c r="B39" i="1"/>
  <c r="C39" i="1" s="1"/>
  <c r="D39" i="1" s="1"/>
  <c r="B40" i="1"/>
  <c r="C40" i="1" s="1"/>
  <c r="D40" i="1" s="1"/>
  <c r="B31" i="1"/>
  <c r="C31" i="1" s="1"/>
  <c r="D31" i="1" s="1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  <c r="C8" i="1"/>
  <c r="D8" i="1" s="1"/>
  <c r="C9" i="1"/>
  <c r="D9" i="1" s="1"/>
  <c r="C10" i="1"/>
  <c r="D10" i="1" s="1"/>
  <c r="C11" i="1"/>
  <c r="D11" i="1" s="1"/>
  <c r="C12" i="1"/>
  <c r="D12" i="1" s="1"/>
  <c r="C3" i="1"/>
  <c r="D3" i="1" s="1"/>
  <c r="B4" i="1"/>
  <c r="C4" i="1" s="1"/>
  <c r="D4" i="1" s="1"/>
  <c r="B5" i="1"/>
  <c r="C5" i="1" s="1"/>
  <c r="D5" i="1" s="1"/>
  <c r="B6" i="1"/>
  <c r="C6" i="1" s="1"/>
  <c r="D6" i="1" s="1"/>
  <c r="B7" i="1"/>
  <c r="C7" i="1" s="1"/>
  <c r="D7" i="1" s="1"/>
  <c r="B8" i="1"/>
  <c r="B9" i="1"/>
  <c r="B10" i="1"/>
  <c r="B11" i="1"/>
  <c r="B12" i="1"/>
  <c r="B3" i="1"/>
</calcChain>
</file>

<file path=xl/sharedStrings.xml><?xml version="1.0" encoding="utf-8"?>
<sst xmlns="http://schemas.openxmlformats.org/spreadsheetml/2006/main" count="21" uniqueCount="15">
  <si>
    <t>x</t>
    <phoneticPr fontId="1" type="noConversion"/>
  </si>
  <si>
    <t>rank</t>
    <phoneticPr fontId="1" type="noConversion"/>
  </si>
  <si>
    <t>누적확률</t>
    <phoneticPr fontId="1" type="noConversion"/>
  </si>
  <si>
    <t>Normal Score</t>
    <phoneticPr fontId="1" type="noConversion"/>
  </si>
  <si>
    <t>sqrt(x)</t>
    <phoneticPr fontId="1" type="noConversion"/>
  </si>
  <si>
    <t>log(x)</t>
    <phoneticPr fontId="1" type="noConversion"/>
  </si>
  <si>
    <t>1. (2)</t>
    <phoneticPr fontId="1" type="noConversion"/>
  </si>
  <si>
    <t>1. (1)</t>
    <phoneticPr fontId="1" type="noConversion"/>
  </si>
  <si>
    <t>첫 번째 수</t>
    <phoneticPr fontId="1" type="noConversion"/>
  </si>
  <si>
    <t>두 번째 수</t>
    <phoneticPr fontId="1" type="noConversion"/>
  </si>
  <si>
    <t>평균</t>
    <phoneticPr fontId="1" type="noConversion"/>
  </si>
  <si>
    <t>표본평균</t>
    <phoneticPr fontId="1" type="noConversion"/>
  </si>
  <si>
    <r>
      <t>확률P(X</t>
    </r>
    <r>
      <rPr>
        <sz val="11"/>
        <color theme="1"/>
        <rFont val="Segoe UI"/>
        <family val="2"/>
      </rPr>
      <t>̄</t>
    </r>
    <r>
      <rPr>
        <sz val="11"/>
        <color theme="1"/>
        <rFont val="맑은 고딕"/>
        <family val="2"/>
        <charset val="129"/>
        <scheme val="minor"/>
      </rPr>
      <t xml:space="preserve"> = x</t>
    </r>
    <r>
      <rPr>
        <sz val="11"/>
        <color theme="1"/>
        <rFont val="Segoe UI"/>
        <family val="2"/>
      </rPr>
      <t>̄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</si>
  <si>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2. (1)</t>
    <phoneticPr fontId="1" type="noConversion"/>
  </si>
  <si>
    <t>2. (2)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</si>
</sst>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Normal</a:t>
            </a:r>
            <a:r>
              <a:rPr lang="en-US" altLang="ko-KR" baseline="0"/>
              <a:t> Score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Sheet1!$A$3:$A$12</c:f>
              <c:numCache>
                <c:formatCode>General</c:formatCode>
                <c:ptCount val="10"/>
                <c:pt idx="0">
                  <c:v>9.51</c:v>
                </c:pt>
                <c:pt idx="1">
                  <c:v>0.28000000000000003</c:v>
                </c:pt>
                <c:pt idx="2">
                  <c:v>1.63</c:v>
                </c:pt>
                <c:pt idx="3">
                  <c:v>1.39</c:v>
                </c:pt>
                <c:pt idx="4">
                  <c:v>1.58</c:v>
                </c:pt>
                <c:pt idx="5">
                  <c:v>3.04</c:v>
                </c:pt>
                <c:pt idx="6">
                  <c:v>1.49</c:v>
                </c:pt>
                <c:pt idx="7">
                  <c:v>1.79</c:v>
                </c:pt>
                <c:pt idx="8">
                  <c:v>3.89</c:v>
                </c:pt>
                <c:pt idx="9">
                  <c:v>0.98</c:v>
                </c:pt>
              </c:numCache>
            </c:numRef>
          </c:xVal>
          <c:yVal>
            <c:numRef>
              <c:f>Sheet1!$D$3:$D$12</c:f>
              <c:numCache>
                <c:formatCode>General</c:formatCode>
                <c:ptCount val="10"/>
                <c:pt idx="0">
                  <c:v>1.6448536269514715</c:v>
                </c:pt>
                <c:pt idx="1">
                  <c:v>-1.6448536269514726</c:v>
                </c:pt>
                <c:pt idx="2">
                  <c:v>0.12566134685507416</c:v>
                </c:pt>
                <c:pt idx="3">
                  <c:v>-0.67448975019608193</c:v>
                </c:pt>
                <c:pt idx="4">
                  <c:v>-0.12566134685507402</c:v>
                </c:pt>
                <c:pt idx="5">
                  <c:v>0.67448975019608193</c:v>
                </c:pt>
                <c:pt idx="6">
                  <c:v>-0.38532046640756784</c:v>
                </c:pt>
                <c:pt idx="7">
                  <c:v>0.38532046640756784</c:v>
                </c:pt>
                <c:pt idx="8">
                  <c:v>1.0364333894937898</c:v>
                </c:pt>
                <c:pt idx="9">
                  <c:v>-1.0364333894937898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55-47F1-94BA-885F6CC42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470288"/>
        <c:axId val="12470958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Sheet1!$A$3:$A$12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9.51</c:v>
                      </c:pt>
                      <c:pt idx="1">
                        <c:v>0.28000000000000003</c:v>
                      </c:pt>
                      <c:pt idx="2">
                        <c:v>1.63</c:v>
                      </c:pt>
                      <c:pt idx="3">
                        <c:v>1.39</c:v>
                      </c:pt>
                      <c:pt idx="4">
                        <c:v>1.58</c:v>
                      </c:pt>
                      <c:pt idx="5">
                        <c:v>3.04</c:v>
                      </c:pt>
                      <c:pt idx="6">
                        <c:v>1.49</c:v>
                      </c:pt>
                      <c:pt idx="7">
                        <c:v>1.79</c:v>
                      </c:pt>
                      <c:pt idx="8">
                        <c:v>3.89</c:v>
                      </c:pt>
                      <c:pt idx="9">
                        <c:v>0.98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Sheet1!$B$3:$B$12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1</c:v>
                      </c:pt>
                      <c:pt idx="2">
                        <c:v>6</c:v>
                      </c:pt>
                      <c:pt idx="3">
                        <c:v>3</c:v>
                      </c:pt>
                      <c:pt idx="4">
                        <c:v>5</c:v>
                      </c:pt>
                      <c:pt idx="5">
                        <c:v>8</c:v>
                      </c:pt>
                      <c:pt idx="6">
                        <c:v>4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D55-47F1-94BA-885F6CC42070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Sheet1!$A$3:$A$12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9.51</c:v>
                      </c:pt>
                      <c:pt idx="1">
                        <c:v>0.28000000000000003</c:v>
                      </c:pt>
                      <c:pt idx="2">
                        <c:v>1.63</c:v>
                      </c:pt>
                      <c:pt idx="3">
                        <c:v>1.39</c:v>
                      </c:pt>
                      <c:pt idx="4">
                        <c:v>1.58</c:v>
                      </c:pt>
                      <c:pt idx="5">
                        <c:v>3.04</c:v>
                      </c:pt>
                      <c:pt idx="6">
                        <c:v>1.49</c:v>
                      </c:pt>
                      <c:pt idx="7">
                        <c:v>1.79</c:v>
                      </c:pt>
                      <c:pt idx="8">
                        <c:v>3.89</c:v>
                      </c:pt>
                      <c:pt idx="9">
                        <c:v>0.98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Sheet1!$C$3:$C$12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0.95</c:v>
                      </c:pt>
                      <c:pt idx="1">
                        <c:v>0.05</c:v>
                      </c:pt>
                      <c:pt idx="2">
                        <c:v>0.55000000000000004</c:v>
                      </c:pt>
                      <c:pt idx="3">
                        <c:v>0.25</c:v>
                      </c:pt>
                      <c:pt idx="4">
                        <c:v>0.45</c:v>
                      </c:pt>
                      <c:pt idx="5">
                        <c:v>0.75</c:v>
                      </c:pt>
                      <c:pt idx="6">
                        <c:v>0.35</c:v>
                      </c:pt>
                      <c:pt idx="7">
                        <c:v>0.65</c:v>
                      </c:pt>
                      <c:pt idx="8">
                        <c:v>0.85</c:v>
                      </c:pt>
                      <c:pt idx="9">
                        <c:v>0.15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D55-47F1-94BA-885F6CC42070}"/>
                  </c:ext>
                </c:extLst>
              </c15:ser>
            </c15:filteredScatterSeries>
          </c:ext>
        </c:extLst>
      </c:scatterChart>
      <c:valAx>
        <c:axId val="114747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7095872"/>
        <c:crosses val="autoZero"/>
        <c:crossBetween val="midCat"/>
      </c:valAx>
      <c:valAx>
        <c:axId val="124709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47470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sqrt(x)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Sheet1!$D$3:$D$12</c:f>
              <c:numCache>
                <c:formatCode>General</c:formatCode>
                <c:ptCount val="10"/>
                <c:pt idx="0">
                  <c:v>1.6448536269514715</c:v>
                </c:pt>
                <c:pt idx="1">
                  <c:v>-1.6448536269514726</c:v>
                </c:pt>
                <c:pt idx="2">
                  <c:v>0.12566134685507416</c:v>
                </c:pt>
                <c:pt idx="3">
                  <c:v>-0.67448975019608193</c:v>
                </c:pt>
                <c:pt idx="4">
                  <c:v>-0.12566134685507402</c:v>
                </c:pt>
                <c:pt idx="5">
                  <c:v>0.67448975019608193</c:v>
                </c:pt>
                <c:pt idx="6">
                  <c:v>-0.38532046640756784</c:v>
                </c:pt>
                <c:pt idx="7">
                  <c:v>0.38532046640756784</c:v>
                </c:pt>
                <c:pt idx="8">
                  <c:v>1.0364333894937898</c:v>
                </c:pt>
                <c:pt idx="9">
                  <c:v>-1.0364333894937898</c:v>
                </c:pt>
              </c:numCache>
            </c:numRef>
          </c:xVal>
          <c:yVal>
            <c:numRef>
              <c:f>Sheet1!$E$3:$E$12</c:f>
              <c:numCache>
                <c:formatCode>General</c:formatCode>
                <c:ptCount val="10"/>
                <c:pt idx="0">
                  <c:v>3.083828789021855</c:v>
                </c:pt>
                <c:pt idx="1">
                  <c:v>0.52915026221291817</c:v>
                </c:pt>
                <c:pt idx="2">
                  <c:v>1.2767145334803705</c:v>
                </c:pt>
                <c:pt idx="3">
                  <c:v>1.1789826122551597</c:v>
                </c:pt>
                <c:pt idx="4">
                  <c:v>1.2569805089976536</c:v>
                </c:pt>
                <c:pt idx="5">
                  <c:v>1.7435595774162693</c:v>
                </c:pt>
                <c:pt idx="6">
                  <c:v>1.2206555615733703</c:v>
                </c:pt>
                <c:pt idx="7">
                  <c:v>1.3379088160259651</c:v>
                </c:pt>
                <c:pt idx="8">
                  <c:v>1.972308292331602</c:v>
                </c:pt>
                <c:pt idx="9">
                  <c:v>0.98994949366116658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B7-4884-9AF0-62AF08E55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373376"/>
        <c:axId val="125837385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Sheet1!$D$3:$D$12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1.6448536269514715</c:v>
                      </c:pt>
                      <c:pt idx="1">
                        <c:v>-1.6448536269514726</c:v>
                      </c:pt>
                      <c:pt idx="2">
                        <c:v>0.12566134685507416</c:v>
                      </c:pt>
                      <c:pt idx="3">
                        <c:v>-0.67448975019608193</c:v>
                      </c:pt>
                      <c:pt idx="4">
                        <c:v>-0.12566134685507402</c:v>
                      </c:pt>
                      <c:pt idx="5">
                        <c:v>0.67448975019608193</c:v>
                      </c:pt>
                      <c:pt idx="6">
                        <c:v>-0.38532046640756784</c:v>
                      </c:pt>
                      <c:pt idx="7">
                        <c:v>0.38532046640756784</c:v>
                      </c:pt>
                      <c:pt idx="8">
                        <c:v>1.0364333894937898</c:v>
                      </c:pt>
                      <c:pt idx="9">
                        <c:v>-1.0364333894937898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Sheet1!$F$3:$F$12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0.97818051693741392</c:v>
                      </c:pt>
                      <c:pt idx="1">
                        <c:v>-0.55284196865778079</c:v>
                      </c:pt>
                      <c:pt idx="2">
                        <c:v>0.21218760440395779</c:v>
                      </c:pt>
                      <c:pt idx="3">
                        <c:v>0.14301480025409505</c:v>
                      </c:pt>
                      <c:pt idx="4">
                        <c:v>0.19865708695442263</c:v>
                      </c:pt>
                      <c:pt idx="5">
                        <c:v>0.48287358360875376</c:v>
                      </c:pt>
                      <c:pt idx="6">
                        <c:v>0.17318626841227402</c:v>
                      </c:pt>
                      <c:pt idx="7">
                        <c:v>0.2528530309798932</c:v>
                      </c:pt>
                      <c:pt idx="8">
                        <c:v>0.58994960132570773</c:v>
                      </c:pt>
                      <c:pt idx="9">
                        <c:v>-8.7739243075051505E-3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5DB7-4884-9AF0-62AF08E55403}"/>
                  </c:ext>
                </c:extLst>
              </c15:ser>
            </c15:filteredScatterSeries>
          </c:ext>
        </c:extLst>
      </c:scatterChart>
      <c:valAx>
        <c:axId val="125837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8373856"/>
        <c:crosses val="autoZero"/>
        <c:crossBetween val="midCat"/>
      </c:valAx>
      <c:valAx>
        <c:axId val="125837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8373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log(x)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Sheet1!$D$3:$D$12</c:f>
              <c:numCache>
                <c:formatCode>General</c:formatCode>
                <c:ptCount val="10"/>
                <c:pt idx="0">
                  <c:v>1.6448536269514715</c:v>
                </c:pt>
                <c:pt idx="1">
                  <c:v>-1.6448536269514726</c:v>
                </c:pt>
                <c:pt idx="2">
                  <c:v>0.12566134685507416</c:v>
                </c:pt>
                <c:pt idx="3">
                  <c:v>-0.67448975019608193</c:v>
                </c:pt>
                <c:pt idx="4">
                  <c:v>-0.12566134685507402</c:v>
                </c:pt>
                <c:pt idx="5">
                  <c:v>0.67448975019608193</c:v>
                </c:pt>
                <c:pt idx="6">
                  <c:v>-0.38532046640756784</c:v>
                </c:pt>
                <c:pt idx="7">
                  <c:v>0.38532046640756784</c:v>
                </c:pt>
                <c:pt idx="8">
                  <c:v>1.0364333894937898</c:v>
                </c:pt>
                <c:pt idx="9">
                  <c:v>-1.0364333894937898</c:v>
                </c:pt>
              </c:numCache>
            </c:numRef>
          </c:xVal>
          <c:yVal>
            <c:numRef>
              <c:f>Sheet1!$F$3:$F$12</c:f>
              <c:numCache>
                <c:formatCode>General</c:formatCode>
                <c:ptCount val="10"/>
                <c:pt idx="0">
                  <c:v>0.97818051693741392</c:v>
                </c:pt>
                <c:pt idx="1">
                  <c:v>-0.55284196865778079</c:v>
                </c:pt>
                <c:pt idx="2">
                  <c:v>0.21218760440395779</c:v>
                </c:pt>
                <c:pt idx="3">
                  <c:v>0.14301480025409505</c:v>
                </c:pt>
                <c:pt idx="4">
                  <c:v>0.19865708695442263</c:v>
                </c:pt>
                <c:pt idx="5">
                  <c:v>0.48287358360875376</c:v>
                </c:pt>
                <c:pt idx="6">
                  <c:v>0.17318626841227402</c:v>
                </c:pt>
                <c:pt idx="7">
                  <c:v>0.2528530309798932</c:v>
                </c:pt>
                <c:pt idx="8">
                  <c:v>0.58994960132570773</c:v>
                </c:pt>
                <c:pt idx="9">
                  <c:v>-8.7739243075051505E-3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B8-4690-AF21-FE878D90C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478400"/>
        <c:axId val="12474755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Sheet1!$D$3:$D$12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1.6448536269514715</c:v>
                      </c:pt>
                      <c:pt idx="1">
                        <c:v>-1.6448536269514726</c:v>
                      </c:pt>
                      <c:pt idx="2">
                        <c:v>0.12566134685507416</c:v>
                      </c:pt>
                      <c:pt idx="3">
                        <c:v>-0.67448975019608193</c:v>
                      </c:pt>
                      <c:pt idx="4">
                        <c:v>-0.12566134685507402</c:v>
                      </c:pt>
                      <c:pt idx="5">
                        <c:v>0.67448975019608193</c:v>
                      </c:pt>
                      <c:pt idx="6">
                        <c:v>-0.38532046640756784</c:v>
                      </c:pt>
                      <c:pt idx="7">
                        <c:v>0.38532046640756784</c:v>
                      </c:pt>
                      <c:pt idx="8">
                        <c:v>1.0364333894937898</c:v>
                      </c:pt>
                      <c:pt idx="9">
                        <c:v>-1.0364333894937898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Sheet1!$E$3:$E$12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3.083828789021855</c:v>
                      </c:pt>
                      <c:pt idx="1">
                        <c:v>0.52915026221291817</c:v>
                      </c:pt>
                      <c:pt idx="2">
                        <c:v>1.2767145334803705</c:v>
                      </c:pt>
                      <c:pt idx="3">
                        <c:v>1.1789826122551597</c:v>
                      </c:pt>
                      <c:pt idx="4">
                        <c:v>1.2569805089976536</c:v>
                      </c:pt>
                      <c:pt idx="5">
                        <c:v>1.7435595774162693</c:v>
                      </c:pt>
                      <c:pt idx="6">
                        <c:v>1.2206555615733703</c:v>
                      </c:pt>
                      <c:pt idx="7">
                        <c:v>1.3379088160259651</c:v>
                      </c:pt>
                      <c:pt idx="8">
                        <c:v>1.972308292331602</c:v>
                      </c:pt>
                      <c:pt idx="9">
                        <c:v>0.98994949366116658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CB8-4690-AF21-FE878D90C457}"/>
                  </c:ext>
                </c:extLst>
              </c15:ser>
            </c15:filteredScatterSeries>
          </c:ext>
        </c:extLst>
      </c:scatterChart>
      <c:valAx>
        <c:axId val="124747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7475520"/>
        <c:crosses val="autoZero"/>
        <c:crossBetween val="midCat"/>
      </c:valAx>
      <c:valAx>
        <c:axId val="12474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747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Normal</a:t>
            </a:r>
            <a:r>
              <a:rPr lang="en-US" altLang="ko-KR" baseline="0"/>
              <a:t> Score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Sheet1!$A$31:$A$40</c:f>
              <c:numCache>
                <c:formatCode>General</c:formatCode>
                <c:ptCount val="10"/>
                <c:pt idx="0">
                  <c:v>2.97</c:v>
                </c:pt>
                <c:pt idx="1">
                  <c:v>4.3499999999999996</c:v>
                </c:pt>
                <c:pt idx="2">
                  <c:v>2.67</c:v>
                </c:pt>
                <c:pt idx="3">
                  <c:v>3.27</c:v>
                </c:pt>
                <c:pt idx="4">
                  <c:v>1.75</c:v>
                </c:pt>
                <c:pt idx="5">
                  <c:v>4.2699999999999996</c:v>
                </c:pt>
                <c:pt idx="6">
                  <c:v>4.1900000000000004</c:v>
                </c:pt>
                <c:pt idx="7">
                  <c:v>2.67</c:v>
                </c:pt>
                <c:pt idx="8">
                  <c:v>1.04</c:v>
                </c:pt>
                <c:pt idx="9">
                  <c:v>1.93</c:v>
                </c:pt>
              </c:numCache>
            </c:numRef>
          </c:xVal>
          <c:yVal>
            <c:numRef>
              <c:f>Sheet1!$D$31:$D$40</c:f>
              <c:numCache>
                <c:formatCode>General</c:formatCode>
                <c:ptCount val="10"/>
                <c:pt idx="0">
                  <c:v>0.12566134685507416</c:v>
                </c:pt>
                <c:pt idx="1">
                  <c:v>1.6448536269514715</c:v>
                </c:pt>
                <c:pt idx="2">
                  <c:v>-0.25334710313579978</c:v>
                </c:pt>
                <c:pt idx="3">
                  <c:v>0.38532046640756784</c:v>
                </c:pt>
                <c:pt idx="4">
                  <c:v>-1.0364333894937898</c:v>
                </c:pt>
                <c:pt idx="5">
                  <c:v>1.0364333894937898</c:v>
                </c:pt>
                <c:pt idx="6">
                  <c:v>0.67448975019608193</c:v>
                </c:pt>
                <c:pt idx="7">
                  <c:v>-0.25334710313579978</c:v>
                </c:pt>
                <c:pt idx="8">
                  <c:v>-1.6448536269514726</c:v>
                </c:pt>
                <c:pt idx="9">
                  <c:v>-0.67448975019608193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A7-4479-AB2E-FF2CF1136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272080"/>
        <c:axId val="14062730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Sheet1!$A$31:$A$40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2.97</c:v>
                      </c:pt>
                      <c:pt idx="1">
                        <c:v>4.3499999999999996</c:v>
                      </c:pt>
                      <c:pt idx="2">
                        <c:v>2.67</c:v>
                      </c:pt>
                      <c:pt idx="3">
                        <c:v>3.27</c:v>
                      </c:pt>
                      <c:pt idx="4">
                        <c:v>1.75</c:v>
                      </c:pt>
                      <c:pt idx="5">
                        <c:v>4.2699999999999996</c:v>
                      </c:pt>
                      <c:pt idx="6">
                        <c:v>4.1900000000000004</c:v>
                      </c:pt>
                      <c:pt idx="7">
                        <c:v>2.67</c:v>
                      </c:pt>
                      <c:pt idx="8">
                        <c:v>1.04</c:v>
                      </c:pt>
                      <c:pt idx="9">
                        <c:v>1.93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Sheet1!$B$31:$B$40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6</c:v>
                      </c:pt>
                      <c:pt idx="1">
                        <c:v>10</c:v>
                      </c:pt>
                      <c:pt idx="2">
                        <c:v>4.5</c:v>
                      </c:pt>
                      <c:pt idx="3">
                        <c:v>7</c:v>
                      </c:pt>
                      <c:pt idx="4">
                        <c:v>2</c:v>
                      </c:pt>
                      <c:pt idx="5">
                        <c:v>9</c:v>
                      </c:pt>
                      <c:pt idx="6">
                        <c:v>8</c:v>
                      </c:pt>
                      <c:pt idx="7">
                        <c:v>4.5</c:v>
                      </c:pt>
                      <c:pt idx="8">
                        <c:v>1</c:v>
                      </c:pt>
                      <c:pt idx="9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3A7-4479-AB2E-FF2CF1136D1A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Sheet1!$A$31:$A$40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2.97</c:v>
                      </c:pt>
                      <c:pt idx="1">
                        <c:v>4.3499999999999996</c:v>
                      </c:pt>
                      <c:pt idx="2">
                        <c:v>2.67</c:v>
                      </c:pt>
                      <c:pt idx="3">
                        <c:v>3.27</c:v>
                      </c:pt>
                      <c:pt idx="4">
                        <c:v>1.75</c:v>
                      </c:pt>
                      <c:pt idx="5">
                        <c:v>4.2699999999999996</c:v>
                      </c:pt>
                      <c:pt idx="6">
                        <c:v>4.1900000000000004</c:v>
                      </c:pt>
                      <c:pt idx="7">
                        <c:v>2.67</c:v>
                      </c:pt>
                      <c:pt idx="8">
                        <c:v>1.04</c:v>
                      </c:pt>
                      <c:pt idx="9">
                        <c:v>1.93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Sheet1!$C$31:$C$40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0.55000000000000004</c:v>
                      </c:pt>
                      <c:pt idx="1">
                        <c:v>0.95</c:v>
                      </c:pt>
                      <c:pt idx="2">
                        <c:v>0.4</c:v>
                      </c:pt>
                      <c:pt idx="3">
                        <c:v>0.65</c:v>
                      </c:pt>
                      <c:pt idx="4">
                        <c:v>0.15</c:v>
                      </c:pt>
                      <c:pt idx="5">
                        <c:v>0.85</c:v>
                      </c:pt>
                      <c:pt idx="6">
                        <c:v>0.75</c:v>
                      </c:pt>
                      <c:pt idx="7">
                        <c:v>0.4</c:v>
                      </c:pt>
                      <c:pt idx="8">
                        <c:v>0.05</c:v>
                      </c:pt>
                      <c:pt idx="9">
                        <c:v>0.25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3A7-4479-AB2E-FF2CF1136D1A}"/>
                  </c:ext>
                </c:extLst>
              </c15:ser>
            </c15:filteredScatterSeries>
          </c:ext>
        </c:extLst>
      </c:scatterChart>
      <c:valAx>
        <c:axId val="140627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6273040"/>
        <c:crosses val="autoZero"/>
        <c:crossBetween val="midCat"/>
      </c:valAx>
      <c:valAx>
        <c:axId val="140627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627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sqrt(x)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Sheet1!$D$31:$D$40</c:f>
              <c:numCache>
                <c:formatCode>General</c:formatCode>
                <c:ptCount val="10"/>
                <c:pt idx="0">
                  <c:v>0.12566134685507416</c:v>
                </c:pt>
                <c:pt idx="1">
                  <c:v>1.6448536269514715</c:v>
                </c:pt>
                <c:pt idx="2">
                  <c:v>-0.25334710313579978</c:v>
                </c:pt>
                <c:pt idx="3">
                  <c:v>0.38532046640756784</c:v>
                </c:pt>
                <c:pt idx="4">
                  <c:v>-1.0364333894937898</c:v>
                </c:pt>
                <c:pt idx="5">
                  <c:v>1.0364333894937898</c:v>
                </c:pt>
                <c:pt idx="6">
                  <c:v>0.67448975019608193</c:v>
                </c:pt>
                <c:pt idx="7">
                  <c:v>-0.25334710313579978</c:v>
                </c:pt>
                <c:pt idx="8">
                  <c:v>-1.6448536269514726</c:v>
                </c:pt>
                <c:pt idx="9">
                  <c:v>-0.67448975019608193</c:v>
                </c:pt>
              </c:numCache>
            </c:numRef>
          </c:xVal>
          <c:yVal>
            <c:numRef>
              <c:f>Sheet1!$E$31:$E$40</c:f>
              <c:numCache>
                <c:formatCode>General</c:formatCode>
                <c:ptCount val="10"/>
                <c:pt idx="0">
                  <c:v>1.7233687939614086</c:v>
                </c:pt>
                <c:pt idx="1">
                  <c:v>2.0856653614614209</c:v>
                </c:pt>
                <c:pt idx="2">
                  <c:v>1.6340134638368191</c:v>
                </c:pt>
                <c:pt idx="3">
                  <c:v>1.8083141320025125</c:v>
                </c:pt>
                <c:pt idx="4">
                  <c:v>1.3228756555322954</c:v>
                </c:pt>
                <c:pt idx="5">
                  <c:v>2.0663978319771825</c:v>
                </c:pt>
                <c:pt idx="6">
                  <c:v>2.0469489490458721</c:v>
                </c:pt>
                <c:pt idx="7">
                  <c:v>1.6340134638368191</c:v>
                </c:pt>
                <c:pt idx="8">
                  <c:v>1.019803902718557</c:v>
                </c:pt>
                <c:pt idx="9">
                  <c:v>1.3892443989449805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D-4D8D-8C69-171DD02B1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124768"/>
        <c:axId val="125112428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Sheet1!$D$31:$D$40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0.12566134685507416</c:v>
                      </c:pt>
                      <c:pt idx="1">
                        <c:v>1.6448536269514715</c:v>
                      </c:pt>
                      <c:pt idx="2">
                        <c:v>-0.25334710313579978</c:v>
                      </c:pt>
                      <c:pt idx="3">
                        <c:v>0.38532046640756784</c:v>
                      </c:pt>
                      <c:pt idx="4">
                        <c:v>-1.0364333894937898</c:v>
                      </c:pt>
                      <c:pt idx="5">
                        <c:v>1.0364333894937898</c:v>
                      </c:pt>
                      <c:pt idx="6">
                        <c:v>0.67448975019608193</c:v>
                      </c:pt>
                      <c:pt idx="7">
                        <c:v>-0.25334710313579978</c:v>
                      </c:pt>
                      <c:pt idx="8">
                        <c:v>-1.6448536269514726</c:v>
                      </c:pt>
                      <c:pt idx="9">
                        <c:v>-0.67448975019608193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Sheet1!$F$31:$F$40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0.47275644931721239</c:v>
                      </c:pt>
                      <c:pt idx="1">
                        <c:v>0.63848925695463732</c:v>
                      </c:pt>
                      <c:pt idx="2">
                        <c:v>0.42651126136457523</c:v>
                      </c:pt>
                      <c:pt idx="3">
                        <c:v>0.51454775266028607</c:v>
                      </c:pt>
                      <c:pt idx="4">
                        <c:v>0.24303804868629444</c:v>
                      </c:pt>
                      <c:pt idx="5">
                        <c:v>0.63042787502502384</c:v>
                      </c:pt>
                      <c:pt idx="6">
                        <c:v>0.62221402296629535</c:v>
                      </c:pt>
                      <c:pt idx="7">
                        <c:v>0.42651126136457523</c:v>
                      </c:pt>
                      <c:pt idx="8">
                        <c:v>1.703333929878037E-2</c:v>
                      </c:pt>
                      <c:pt idx="9">
                        <c:v>0.28555730900777376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67D-4D8D-8C69-171DD02B1917}"/>
                  </c:ext>
                </c:extLst>
              </c15:ser>
            </c15:filteredScatterSeries>
          </c:ext>
        </c:extLst>
      </c:scatterChart>
      <c:valAx>
        <c:axId val="125112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1124288"/>
        <c:crosses val="autoZero"/>
        <c:crossBetween val="midCat"/>
      </c:valAx>
      <c:valAx>
        <c:axId val="12511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112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log(x)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Sheet1!$D$31:$D$40</c:f>
              <c:numCache>
                <c:formatCode>General</c:formatCode>
                <c:ptCount val="10"/>
                <c:pt idx="0">
                  <c:v>0.12566134685507416</c:v>
                </c:pt>
                <c:pt idx="1">
                  <c:v>1.6448536269514715</c:v>
                </c:pt>
                <c:pt idx="2">
                  <c:v>-0.25334710313579978</c:v>
                </c:pt>
                <c:pt idx="3">
                  <c:v>0.38532046640756784</c:v>
                </c:pt>
                <c:pt idx="4">
                  <c:v>-1.0364333894937898</c:v>
                </c:pt>
                <c:pt idx="5">
                  <c:v>1.0364333894937898</c:v>
                </c:pt>
                <c:pt idx="6">
                  <c:v>0.67448975019608193</c:v>
                </c:pt>
                <c:pt idx="7">
                  <c:v>-0.25334710313579978</c:v>
                </c:pt>
                <c:pt idx="8">
                  <c:v>-1.6448536269514726</c:v>
                </c:pt>
                <c:pt idx="9">
                  <c:v>-0.67448975019608193</c:v>
                </c:pt>
              </c:numCache>
            </c:numRef>
          </c:xVal>
          <c:yVal>
            <c:numRef>
              <c:f>Sheet1!$F$31:$F$40</c:f>
              <c:numCache>
                <c:formatCode>General</c:formatCode>
                <c:ptCount val="10"/>
                <c:pt idx="0">
                  <c:v>0.47275644931721239</c:v>
                </c:pt>
                <c:pt idx="1">
                  <c:v>0.63848925695463732</c:v>
                </c:pt>
                <c:pt idx="2">
                  <c:v>0.42651126136457523</c:v>
                </c:pt>
                <c:pt idx="3">
                  <c:v>0.51454775266028607</c:v>
                </c:pt>
                <c:pt idx="4">
                  <c:v>0.24303804868629444</c:v>
                </c:pt>
                <c:pt idx="5">
                  <c:v>0.63042787502502384</c:v>
                </c:pt>
                <c:pt idx="6">
                  <c:v>0.62221402296629535</c:v>
                </c:pt>
                <c:pt idx="7">
                  <c:v>0.42651126136457523</c:v>
                </c:pt>
                <c:pt idx="8">
                  <c:v>1.703333929878037E-2</c:v>
                </c:pt>
                <c:pt idx="9">
                  <c:v>0.28555730900777376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8B-4286-90EF-E58778537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133728"/>
        <c:axId val="11476948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Sheet1!$D$31:$D$40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0.12566134685507416</c:v>
                      </c:pt>
                      <c:pt idx="1">
                        <c:v>1.6448536269514715</c:v>
                      </c:pt>
                      <c:pt idx="2">
                        <c:v>-0.25334710313579978</c:v>
                      </c:pt>
                      <c:pt idx="3">
                        <c:v>0.38532046640756784</c:v>
                      </c:pt>
                      <c:pt idx="4">
                        <c:v>-1.0364333894937898</c:v>
                      </c:pt>
                      <c:pt idx="5">
                        <c:v>1.0364333894937898</c:v>
                      </c:pt>
                      <c:pt idx="6">
                        <c:v>0.67448975019608193</c:v>
                      </c:pt>
                      <c:pt idx="7">
                        <c:v>-0.25334710313579978</c:v>
                      </c:pt>
                      <c:pt idx="8">
                        <c:v>-1.6448536269514726</c:v>
                      </c:pt>
                      <c:pt idx="9">
                        <c:v>-0.67448975019608193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Sheet1!$E$31:$E$40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1.7233687939614086</c:v>
                      </c:pt>
                      <c:pt idx="1">
                        <c:v>2.0856653614614209</c:v>
                      </c:pt>
                      <c:pt idx="2">
                        <c:v>1.6340134638368191</c:v>
                      </c:pt>
                      <c:pt idx="3">
                        <c:v>1.8083141320025125</c:v>
                      </c:pt>
                      <c:pt idx="4">
                        <c:v>1.3228756555322954</c:v>
                      </c:pt>
                      <c:pt idx="5">
                        <c:v>2.0663978319771825</c:v>
                      </c:pt>
                      <c:pt idx="6">
                        <c:v>2.0469489490458721</c:v>
                      </c:pt>
                      <c:pt idx="7">
                        <c:v>1.6340134638368191</c:v>
                      </c:pt>
                      <c:pt idx="8">
                        <c:v>1.019803902718557</c:v>
                      </c:pt>
                      <c:pt idx="9">
                        <c:v>1.3892443989449805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D8B-4286-90EF-E58778537F66}"/>
                  </c:ext>
                </c:extLst>
              </c15:ser>
            </c15:filteredScatterSeries>
          </c:ext>
        </c:extLst>
      </c:scatterChart>
      <c:valAx>
        <c:axId val="123113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47694816"/>
        <c:crosses val="autoZero"/>
        <c:crossBetween val="midCat"/>
      </c:valAx>
      <c:valAx>
        <c:axId val="114769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113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0" i="0" u="none" strike="noStrike" baseline="0">
                <a:effectLst/>
              </a:rPr>
              <a:t>표본평균 </a:t>
            </a:r>
            <a:r>
              <a:rPr lang="en-US" altLang="ko-KR" sz="1400" b="0" i="0" u="none" strike="noStrike" baseline="0">
                <a:effectLst/>
              </a:rPr>
              <a:t>X̄</a:t>
            </a:r>
            <a:r>
              <a:rPr lang="ko-KR" altLang="en-US" sz="1400" b="0" i="0" u="none" strike="noStrike" baseline="0">
                <a:effectLst/>
              </a:rPr>
              <a:t>의 확률분포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Sheet1!$AF$21:$AF$25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C-45F4-B358-3A02F9A69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1198736"/>
        <c:axId val="15211972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Sheet1!$AE$21:$AE$25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CDC-45F4-B358-3A02F9A6904C}"/>
                  </c:ext>
                </c:extLst>
              </c15:ser>
            </c15:filteredBarSeries>
          </c:ext>
        </c:extLst>
      </c:barChart>
      <c:catAx>
        <c:axId val="1521198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표본평균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1197296"/>
        <c:crosses val="autoZero"/>
        <c:auto val="1"/>
        <c:lblAlgn val="ctr"/>
        <c:lblOffset val="100"/>
        <c:noMultiLvlLbl val="0"/>
      </c:catAx>
      <c:valAx>
        <c:axId val="152119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확률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2119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</xdr:colOff>
      <xdr:row>1</xdr:row>
      <xdr:rowOff>101600</xdr:rowOff>
    </xdr:from>
    <xdr:to>
      <xdr:col>13</xdr:col>
      <xdr:colOff>612775</xdr:colOff>
      <xdr:row>14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ACEF54E-9534-7494-CB37-3961D8FD0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1</xdr:row>
      <xdr:rowOff>88900</xdr:rowOff>
    </xdr:from>
    <xdr:to>
      <xdr:col>24</xdr:col>
      <xdr:colOff>565150</xdr:colOff>
      <xdr:row>17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02DE4D-7FA9-C283-7830-DA7965E1F0BA}"/>
            </a:ext>
          </a:extLst>
        </xdr:cNvPr>
        <xdr:cNvSpPr txBox="1"/>
      </xdr:nvSpPr>
      <xdr:spPr>
        <a:xfrm>
          <a:off x="9569450" y="88900"/>
          <a:ext cx="7150100" cy="347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1.</a:t>
          </a:r>
          <a:r>
            <a:rPr lang="en-US" altLang="ko-KR" sz="1100" baseline="0"/>
            <a:t> </a:t>
          </a:r>
          <a:br>
            <a:rPr lang="en-US" altLang="ko-KR" sz="1100" baseline="0"/>
          </a:br>
          <a:r>
            <a:rPr lang="en-US" altLang="ko-KR" sz="1100" baseline="0"/>
            <a:t>(1) </a:t>
          </a:r>
          <a:r>
            <a:rPr lang="ko-KR" altLang="en-US" sz="1100" baseline="0"/>
            <a:t> 다음 자료는 점들이 직선에서 크게 벗어난 모습을 보이기에 정규 분포를 따르지 않습니다</a:t>
          </a:r>
          <a:r>
            <a:rPr lang="en-US" altLang="ko-KR" sz="1100" baseline="0"/>
            <a:t>.</a:t>
          </a:r>
        </a:p>
        <a:p>
          <a:r>
            <a:rPr lang="ko-KR" altLang="en-US" sz="1100" baseline="0"/>
            <a:t>다음 자료를 제곱근과 로그를 이용하여 적절한 변환을 구했습니다</a:t>
          </a:r>
          <a:r>
            <a:rPr lang="en-US" altLang="ko-KR" sz="1100" baseline="0"/>
            <a:t>.</a:t>
          </a:r>
          <a:br>
            <a:rPr lang="en-US" altLang="ko-KR" sz="1100" baseline="0"/>
          </a:br>
          <a:r>
            <a:rPr lang="ko-KR" altLang="en-US" sz="1100" baseline="0"/>
            <a:t>자료를 보면 제곱근을 사용한 자료는 가장 큰 값이 여전히 직선 위로 툭 튀어나온 모습입니다</a:t>
          </a:r>
          <a:r>
            <a:rPr lang="en-US" altLang="ko-KR" sz="1100" baseline="0"/>
            <a:t>.</a:t>
          </a:r>
        </a:p>
        <a:p>
          <a:r>
            <a:rPr lang="ko-KR" altLang="en-US" sz="1100" baseline="0"/>
            <a:t>로그를 사용한 자료는 제곱근을 사용한 자료에 비해 점들이 직선에 더 고르게 붙어 있는 것을 볼 수 있습니다</a:t>
          </a:r>
          <a:r>
            <a:rPr lang="en-US" altLang="ko-KR" sz="1100" baseline="0"/>
            <a:t>. </a:t>
          </a:r>
        </a:p>
        <a:p>
          <a:r>
            <a:rPr lang="ko-KR" altLang="en-US" sz="1100" baseline="0"/>
            <a:t>따라서 적절한 변환은 로그 변환으로 생각됩니다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(2) 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다음 자료의 점들이 직선을 따라 분포하는 듯 보이나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양 끝단에서 직선을 벗어나는 모습을 보이기에 정규분포를 완벽히 따른다고 보기 어렵습니다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해당 자료를 제곱근과 로그를 이용하여 적절한 변환을 구했습니다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자료를 보면 제곱근을 사용했을 때 점들이 원래 자료보다 직선에 더 밀착되어 고르게 분포하는 모습을 볼 수 있습니다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반면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로그 변환을 사용한 자료는 오히려 왼쪽 끝단의 점들이 직선에서 더 멀어지는 경향을 보입니다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따라서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번 자료의 경우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데이터의 치우침을 적절히 교정하면서도 정규성을 가장 잘 확보하는 제곱근 변환이 더 적절한 변환이라고 생각합니다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aseline="0"/>
        </a:p>
      </xdr:txBody>
    </xdr:sp>
    <xdr:clientData/>
  </xdr:twoCellAnchor>
  <xdr:twoCellAnchor>
    <xdr:from>
      <xdr:col>0</xdr:col>
      <xdr:colOff>73025</xdr:colOff>
      <xdr:row>14</xdr:row>
      <xdr:rowOff>82550</xdr:rowOff>
    </xdr:from>
    <xdr:to>
      <xdr:col>6</xdr:col>
      <xdr:colOff>377825</xdr:colOff>
      <xdr:row>27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9521E78-D325-6E1C-368A-7ABE593D8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</xdr:colOff>
      <xdr:row>14</xdr:row>
      <xdr:rowOff>114300</xdr:rowOff>
    </xdr:from>
    <xdr:to>
      <xdr:col>13</xdr:col>
      <xdr:colOff>638175</xdr:colOff>
      <xdr:row>27</xdr:row>
      <xdr:rowOff>50800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F06A509-93E3-F6C9-A8AE-2E51A1AC9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15875</xdr:colOff>
      <xdr:row>27</xdr:row>
      <xdr:rowOff>114300</xdr:rowOff>
    </xdr:from>
    <xdr:to>
      <xdr:col>13</xdr:col>
      <xdr:colOff>625475</xdr:colOff>
      <xdr:row>40</xdr:row>
      <xdr:rowOff>50800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9CE29CC-B8FD-3030-3715-A9C8AD9F4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187325</xdr:colOff>
      <xdr:row>40</xdr:row>
      <xdr:rowOff>107950</xdr:rowOff>
    </xdr:from>
    <xdr:to>
      <xdr:col>6</xdr:col>
      <xdr:colOff>492125</xdr:colOff>
      <xdr:row>53</xdr:row>
      <xdr:rowOff>44450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F8A5486-345F-4329-14A1-69981DB37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657225</xdr:colOff>
      <xdr:row>40</xdr:row>
      <xdr:rowOff>114300</xdr:rowOff>
    </xdr:from>
    <xdr:to>
      <xdr:col>13</xdr:col>
      <xdr:colOff>606425</xdr:colOff>
      <xdr:row>53</xdr:row>
      <xdr:rowOff>50800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FD36445C-2CE6-F0B5-5F20-ECE9846C2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133350</xdr:colOff>
      <xdr:row>20</xdr:row>
      <xdr:rowOff>0</xdr:rowOff>
    </xdr:from>
    <xdr:to>
      <xdr:col>25</xdr:col>
      <xdr:colOff>171450</xdr:colOff>
      <xdr:row>41</xdr:row>
      <xdr:rowOff>209550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B584D5-FBC3-DC27-40BD-1B56EAE64C72}"/>
            </a:ext>
          </a:extLst>
        </xdr:cNvPr>
        <xdr:cNvSpPr txBox="1"/>
      </xdr:nvSpPr>
      <xdr:spPr>
        <a:xfrm>
          <a:off x="9683750" y="4318000"/>
          <a:ext cx="7302500" cy="4743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2.</a:t>
          </a:r>
          <a:r>
            <a:rPr lang="ko-KR" altLang="en-US" sz="1100" baseline="0"/>
            <a:t> 복원 추출로 </a:t>
          </a:r>
          <a:r>
            <a:rPr lang="en-US" altLang="ko-KR" sz="1100" baseline="0"/>
            <a:t>{1, 3, 5}</a:t>
          </a:r>
          <a:r>
            <a:rPr lang="ko-KR" altLang="en-US" sz="1100" baseline="0"/>
            <a:t>에서 두 수를 추출할 때</a:t>
          </a:r>
          <a:r>
            <a:rPr lang="en-US" altLang="ko-KR" sz="1100" baseline="0"/>
            <a:t>. </a:t>
          </a:r>
          <a:r>
            <a:rPr lang="ko-KR" altLang="en-US" sz="1100" baseline="0"/>
            <a:t>다음에 답하라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(1) </a:t>
          </a:r>
          <a:r>
            <a:rPr lang="ko-KR" altLang="en-US" sz="1100" baseline="0"/>
            <a:t>모든 가능한 표본을 구하고</a:t>
          </a:r>
          <a:r>
            <a:rPr lang="en-US" altLang="ko-KR" sz="1100" baseline="0"/>
            <a:t>, </a:t>
          </a:r>
          <a:r>
            <a:rPr lang="ko-KR" altLang="en-US" sz="1100" baseline="0"/>
            <a:t>각각의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x̄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구하라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표본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표본평균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x̄ 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(1,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1)	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(1, 3)	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(1, 5)	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(3,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1)	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(3, 3)	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(3, 5)	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(5,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1)	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(5, 3)	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(5, 5)	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effectLst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표본평균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X̄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분포를 구하라</a:t>
          </a:r>
          <a:endParaRPr lang="en-US" altLang="ko-K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표본평균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x̄ )	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빈도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P(X̄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x̄)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	1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1/9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	2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2/9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	3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3/9 (1/3)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	2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2/9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	1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1/9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합계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</a:t>
          </a:r>
        </a:p>
      </xdr:txBody>
    </xdr:sp>
    <xdr:clientData/>
  </xdr:twoCellAnchor>
  <xdr:twoCellAnchor>
    <xdr:from>
      <xdr:col>25</xdr:col>
      <xdr:colOff>631824</xdr:colOff>
      <xdr:row>31</xdr:row>
      <xdr:rowOff>31750</xdr:rowOff>
    </xdr:from>
    <xdr:to>
      <xdr:col>32</xdr:col>
      <xdr:colOff>342899</xdr:colOff>
      <xdr:row>43</xdr:row>
      <xdr:rowOff>184150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B97077C4-9838-12E2-40A9-1072CCD79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88A0-9731-4B51-911A-3BF07EB10D00}">
  <dimension ref="A1:AF40"/>
  <sheetViews>
    <sheetView tabSelected="1" workbookViewId="0">
      <selection activeCell="T46" sqref="T46"/>
    </sheetView>
  </sheetViews>
  <sheetFormatPr defaultRowHeight="17" x14ac:dyDescent="0.45"/>
  <cols>
    <col min="4" max="4" width="12.6640625" bestFit="1" customWidth="1"/>
    <col min="27" max="28" width="9.83203125" bestFit="1" customWidth="1"/>
    <col min="32" max="32" width="11.75" bestFit="1" customWidth="1"/>
  </cols>
  <sheetData>
    <row r="1" spans="1:6" x14ac:dyDescent="0.45">
      <c r="A1" s="1" t="s">
        <v>7</v>
      </c>
    </row>
    <row r="2" spans="1:6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45">
      <c r="A3">
        <v>9.51</v>
      </c>
      <c r="B3">
        <f>_xlfn.RANK.AVG(A3, $A$3:$A$12, 1)</f>
        <v>10</v>
      </c>
      <c r="C3">
        <f>(B3-0.5)/10</f>
        <v>0.95</v>
      </c>
      <c r="D3">
        <f>_xlfn.NORM.S.INV(C3)</f>
        <v>1.6448536269514715</v>
      </c>
      <c r="E3">
        <f>SQRT(A3)</f>
        <v>3.083828789021855</v>
      </c>
      <c r="F3">
        <f>LOG(A3)</f>
        <v>0.97818051693741392</v>
      </c>
    </row>
    <row r="4" spans="1:6" x14ac:dyDescent="0.45">
      <c r="A4">
        <v>0.28000000000000003</v>
      </c>
      <c r="B4">
        <f t="shared" ref="B4:B12" si="0">_xlfn.RANK.AVG(A4, $A$3:$A$12, 1)</f>
        <v>1</v>
      </c>
      <c r="C4">
        <f t="shared" ref="C4:C12" si="1">(B4-0.5)/10</f>
        <v>0.05</v>
      </c>
      <c r="D4">
        <f t="shared" ref="D4:D12" si="2">_xlfn.NORM.S.INV(C4)</f>
        <v>-1.6448536269514726</v>
      </c>
      <c r="E4">
        <f t="shared" ref="E4:E12" si="3">SQRT(A4)</f>
        <v>0.52915026221291817</v>
      </c>
      <c r="F4">
        <f t="shared" ref="F4:F12" si="4">LOG(A4)</f>
        <v>-0.55284196865778079</v>
      </c>
    </row>
    <row r="5" spans="1:6" x14ac:dyDescent="0.45">
      <c r="A5">
        <v>1.63</v>
      </c>
      <c r="B5">
        <f t="shared" si="0"/>
        <v>6</v>
      </c>
      <c r="C5">
        <f t="shared" si="1"/>
        <v>0.55000000000000004</v>
      </c>
      <c r="D5">
        <f t="shared" si="2"/>
        <v>0.12566134685507416</v>
      </c>
      <c r="E5">
        <f t="shared" si="3"/>
        <v>1.2767145334803705</v>
      </c>
      <c r="F5">
        <f t="shared" si="4"/>
        <v>0.21218760440395779</v>
      </c>
    </row>
    <row r="6" spans="1:6" x14ac:dyDescent="0.45">
      <c r="A6">
        <v>1.39</v>
      </c>
      <c r="B6">
        <f t="shared" si="0"/>
        <v>3</v>
      </c>
      <c r="C6">
        <f t="shared" si="1"/>
        <v>0.25</v>
      </c>
      <c r="D6">
        <f t="shared" si="2"/>
        <v>-0.67448975019608193</v>
      </c>
      <c r="E6">
        <f t="shared" si="3"/>
        <v>1.1789826122551597</v>
      </c>
      <c r="F6">
        <f t="shared" si="4"/>
        <v>0.14301480025409505</v>
      </c>
    </row>
    <row r="7" spans="1:6" x14ac:dyDescent="0.45">
      <c r="A7">
        <v>1.58</v>
      </c>
      <c r="B7">
        <f t="shared" si="0"/>
        <v>5</v>
      </c>
      <c r="C7">
        <f t="shared" si="1"/>
        <v>0.45</v>
      </c>
      <c r="D7">
        <f t="shared" si="2"/>
        <v>-0.12566134685507402</v>
      </c>
      <c r="E7">
        <f t="shared" si="3"/>
        <v>1.2569805089976536</v>
      </c>
      <c r="F7">
        <f t="shared" si="4"/>
        <v>0.19865708695442263</v>
      </c>
    </row>
    <row r="8" spans="1:6" x14ac:dyDescent="0.45">
      <c r="A8">
        <v>3.04</v>
      </c>
      <c r="B8">
        <f t="shared" si="0"/>
        <v>8</v>
      </c>
      <c r="C8">
        <f t="shared" si="1"/>
        <v>0.75</v>
      </c>
      <c r="D8">
        <f t="shared" si="2"/>
        <v>0.67448975019608193</v>
      </c>
      <c r="E8">
        <f t="shared" si="3"/>
        <v>1.7435595774162693</v>
      </c>
      <c r="F8">
        <f t="shared" si="4"/>
        <v>0.48287358360875376</v>
      </c>
    </row>
    <row r="9" spans="1:6" x14ac:dyDescent="0.45">
      <c r="A9">
        <v>1.49</v>
      </c>
      <c r="B9">
        <f t="shared" si="0"/>
        <v>4</v>
      </c>
      <c r="C9">
        <f t="shared" si="1"/>
        <v>0.35</v>
      </c>
      <c r="D9">
        <f t="shared" si="2"/>
        <v>-0.38532046640756784</v>
      </c>
      <c r="E9">
        <f t="shared" si="3"/>
        <v>1.2206555615733703</v>
      </c>
      <c r="F9">
        <f t="shared" si="4"/>
        <v>0.17318626841227402</v>
      </c>
    </row>
    <row r="10" spans="1:6" x14ac:dyDescent="0.45">
      <c r="A10">
        <v>1.79</v>
      </c>
      <c r="B10">
        <f t="shared" si="0"/>
        <v>7</v>
      </c>
      <c r="C10">
        <f t="shared" si="1"/>
        <v>0.65</v>
      </c>
      <c r="D10">
        <f t="shared" si="2"/>
        <v>0.38532046640756784</v>
      </c>
      <c r="E10">
        <f t="shared" si="3"/>
        <v>1.3379088160259651</v>
      </c>
      <c r="F10">
        <f t="shared" si="4"/>
        <v>0.2528530309798932</v>
      </c>
    </row>
    <row r="11" spans="1:6" x14ac:dyDescent="0.45">
      <c r="A11">
        <v>3.89</v>
      </c>
      <c r="B11">
        <f t="shared" si="0"/>
        <v>9</v>
      </c>
      <c r="C11">
        <f t="shared" si="1"/>
        <v>0.85</v>
      </c>
      <c r="D11">
        <f t="shared" si="2"/>
        <v>1.0364333894937898</v>
      </c>
      <c r="E11">
        <f t="shared" si="3"/>
        <v>1.972308292331602</v>
      </c>
      <c r="F11">
        <f t="shared" si="4"/>
        <v>0.58994960132570773</v>
      </c>
    </row>
    <row r="12" spans="1:6" x14ac:dyDescent="0.45">
      <c r="A12">
        <v>0.98</v>
      </c>
      <c r="B12">
        <f t="shared" si="0"/>
        <v>2</v>
      </c>
      <c r="C12">
        <f t="shared" si="1"/>
        <v>0.15</v>
      </c>
      <c r="D12">
        <f t="shared" si="2"/>
        <v>-1.0364333894937898</v>
      </c>
      <c r="E12">
        <f t="shared" si="3"/>
        <v>0.98994949366116658</v>
      </c>
      <c r="F12">
        <f t="shared" si="4"/>
        <v>-8.7739243075051505E-3</v>
      </c>
    </row>
    <row r="19" spans="1:32" x14ac:dyDescent="0.45">
      <c r="AA19" s="1" t="s">
        <v>13</v>
      </c>
    </row>
    <row r="20" spans="1:32" x14ac:dyDescent="0.45">
      <c r="AA20" t="s">
        <v>8</v>
      </c>
      <c r="AB20" t="s">
        <v>9</v>
      </c>
      <c r="AC20" t="s">
        <v>10</v>
      </c>
      <c r="AE20" t="s">
        <v>11</v>
      </c>
      <c r="AF20" t="s">
        <v>12</v>
      </c>
    </row>
    <row r="21" spans="1:32" x14ac:dyDescent="0.45">
      <c r="AA21">
        <v>1</v>
      </c>
      <c r="AB21">
        <v>1</v>
      </c>
      <c r="AC21">
        <f xml:space="preserve"> (AA21+AB21)/2</f>
        <v>1</v>
      </c>
      <c r="AE21">
        <v>1</v>
      </c>
      <c r="AF21">
        <f>COUNTIF($AC$21:$AC$29, AE21)</f>
        <v>1</v>
      </c>
    </row>
    <row r="22" spans="1:32" x14ac:dyDescent="0.45">
      <c r="AA22">
        <v>1</v>
      </c>
      <c r="AB22">
        <v>3</v>
      </c>
      <c r="AC22">
        <f t="shared" ref="AC22:AC29" si="5" xml:space="preserve"> (AA22+AB22)/2</f>
        <v>2</v>
      </c>
      <c r="AE22">
        <v>2</v>
      </c>
      <c r="AF22">
        <f t="shared" ref="AF22:AF25" si="6">COUNTIF($AC$21:$AC$29, AE22)</f>
        <v>2</v>
      </c>
    </row>
    <row r="23" spans="1:32" x14ac:dyDescent="0.45">
      <c r="AA23">
        <v>1</v>
      </c>
      <c r="AB23">
        <v>5</v>
      </c>
      <c r="AC23">
        <f t="shared" si="5"/>
        <v>3</v>
      </c>
      <c r="AE23">
        <v>3</v>
      </c>
      <c r="AF23">
        <f t="shared" si="6"/>
        <v>3</v>
      </c>
    </row>
    <row r="24" spans="1:32" x14ac:dyDescent="0.45">
      <c r="AA24">
        <v>3</v>
      </c>
      <c r="AB24">
        <v>1</v>
      </c>
      <c r="AC24">
        <f t="shared" si="5"/>
        <v>2</v>
      </c>
      <c r="AE24">
        <v>4</v>
      </c>
      <c r="AF24">
        <f t="shared" si="6"/>
        <v>2</v>
      </c>
    </row>
    <row r="25" spans="1:32" x14ac:dyDescent="0.45">
      <c r="AA25">
        <v>3</v>
      </c>
      <c r="AB25">
        <v>3</v>
      </c>
      <c r="AC25">
        <f t="shared" si="5"/>
        <v>3</v>
      </c>
      <c r="AE25">
        <v>5</v>
      </c>
      <c r="AF25">
        <f t="shared" si="6"/>
        <v>1</v>
      </c>
    </row>
    <row r="26" spans="1:32" x14ac:dyDescent="0.45">
      <c r="AA26">
        <v>3</v>
      </c>
      <c r="AB26">
        <v>5</v>
      </c>
      <c r="AC26">
        <f t="shared" si="5"/>
        <v>4</v>
      </c>
    </row>
    <row r="27" spans="1:32" x14ac:dyDescent="0.45">
      <c r="AA27">
        <v>5</v>
      </c>
      <c r="AB27">
        <v>1</v>
      </c>
      <c r="AC27">
        <f t="shared" si="5"/>
        <v>3</v>
      </c>
    </row>
    <row r="28" spans="1:32" x14ac:dyDescent="0.45">
      <c r="AA28">
        <v>5</v>
      </c>
      <c r="AB28">
        <v>3</v>
      </c>
      <c r="AC28">
        <f t="shared" si="5"/>
        <v>4</v>
      </c>
    </row>
    <row r="29" spans="1:32" x14ac:dyDescent="0.45">
      <c r="A29" s="1" t="s">
        <v>6</v>
      </c>
      <c r="AA29">
        <v>5</v>
      </c>
      <c r="AB29">
        <v>5</v>
      </c>
      <c r="AC29">
        <f t="shared" si="5"/>
        <v>5</v>
      </c>
    </row>
    <row r="30" spans="1:32" x14ac:dyDescent="0.4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</row>
    <row r="31" spans="1:32" x14ac:dyDescent="0.45">
      <c r="A31">
        <v>2.97</v>
      </c>
      <c r="B31">
        <f>_xlfn.RANK.AVG(A31, $A$31:$A$40, 1)</f>
        <v>6</v>
      </c>
      <c r="C31">
        <f>(B31-0.5)/10</f>
        <v>0.55000000000000004</v>
      </c>
      <c r="D31">
        <f>_xlfn.NORM.S.INV(C31)</f>
        <v>0.12566134685507416</v>
      </c>
      <c r="E31">
        <f>SQRT(A31)</f>
        <v>1.7233687939614086</v>
      </c>
      <c r="F31">
        <f>LOG(A31)</f>
        <v>0.47275644931721239</v>
      </c>
      <c r="AA31" s="1" t="s">
        <v>14</v>
      </c>
    </row>
    <row r="32" spans="1:32" x14ac:dyDescent="0.45">
      <c r="A32">
        <v>4.3499999999999996</v>
      </c>
      <c r="B32">
        <f t="shared" ref="B32:B40" si="7">_xlfn.RANK.AVG(A32, $A$31:$A$40, 1)</f>
        <v>10</v>
      </c>
      <c r="C32">
        <f t="shared" ref="C32:C40" si="8">(B32-0.5)/10</f>
        <v>0.95</v>
      </c>
      <c r="D32">
        <f t="shared" ref="D32:D40" si="9">_xlfn.NORM.S.INV(C32)</f>
        <v>1.6448536269514715</v>
      </c>
      <c r="E32">
        <f t="shared" ref="E32:E40" si="10">SQRT(A32)</f>
        <v>2.0856653614614209</v>
      </c>
      <c r="F32">
        <f t="shared" ref="F32:F40" si="11">LOG(A32)</f>
        <v>0.63848925695463732</v>
      </c>
    </row>
    <row r="33" spans="1:6" x14ac:dyDescent="0.45">
      <c r="A33">
        <v>2.67</v>
      </c>
      <c r="B33">
        <f t="shared" si="7"/>
        <v>4.5</v>
      </c>
      <c r="C33">
        <f t="shared" si="8"/>
        <v>0.4</v>
      </c>
      <c r="D33">
        <f t="shared" si="9"/>
        <v>-0.25334710313579978</v>
      </c>
      <c r="E33">
        <f t="shared" si="10"/>
        <v>1.6340134638368191</v>
      </c>
      <c r="F33">
        <f t="shared" si="11"/>
        <v>0.42651126136457523</v>
      </c>
    </row>
    <row r="34" spans="1:6" x14ac:dyDescent="0.45">
      <c r="A34">
        <v>3.27</v>
      </c>
      <c r="B34">
        <f t="shared" si="7"/>
        <v>7</v>
      </c>
      <c r="C34">
        <f t="shared" si="8"/>
        <v>0.65</v>
      </c>
      <c r="D34">
        <f t="shared" si="9"/>
        <v>0.38532046640756784</v>
      </c>
      <c r="E34">
        <f t="shared" si="10"/>
        <v>1.8083141320025125</v>
      </c>
      <c r="F34">
        <f t="shared" si="11"/>
        <v>0.51454775266028607</v>
      </c>
    </row>
    <row r="35" spans="1:6" x14ac:dyDescent="0.45">
      <c r="A35">
        <v>1.75</v>
      </c>
      <c r="B35">
        <f t="shared" si="7"/>
        <v>2</v>
      </c>
      <c r="C35">
        <f t="shared" si="8"/>
        <v>0.15</v>
      </c>
      <c r="D35">
        <f t="shared" si="9"/>
        <v>-1.0364333894937898</v>
      </c>
      <c r="E35">
        <f t="shared" si="10"/>
        <v>1.3228756555322954</v>
      </c>
      <c r="F35">
        <f t="shared" si="11"/>
        <v>0.24303804868629444</v>
      </c>
    </row>
    <row r="36" spans="1:6" x14ac:dyDescent="0.45">
      <c r="A36">
        <v>4.2699999999999996</v>
      </c>
      <c r="B36">
        <f t="shared" si="7"/>
        <v>9</v>
      </c>
      <c r="C36">
        <f t="shared" si="8"/>
        <v>0.85</v>
      </c>
      <c r="D36">
        <f t="shared" si="9"/>
        <v>1.0364333894937898</v>
      </c>
      <c r="E36">
        <f t="shared" si="10"/>
        <v>2.0663978319771825</v>
      </c>
      <c r="F36">
        <f t="shared" si="11"/>
        <v>0.63042787502502384</v>
      </c>
    </row>
    <row r="37" spans="1:6" x14ac:dyDescent="0.45">
      <c r="A37">
        <v>4.1900000000000004</v>
      </c>
      <c r="B37">
        <f t="shared" si="7"/>
        <v>8</v>
      </c>
      <c r="C37">
        <f t="shared" si="8"/>
        <v>0.75</v>
      </c>
      <c r="D37">
        <f t="shared" si="9"/>
        <v>0.67448975019608193</v>
      </c>
      <c r="E37">
        <f t="shared" si="10"/>
        <v>2.0469489490458721</v>
      </c>
      <c r="F37">
        <f t="shared" si="11"/>
        <v>0.62221402296629535</v>
      </c>
    </row>
    <row r="38" spans="1:6" x14ac:dyDescent="0.45">
      <c r="A38">
        <v>2.67</v>
      </c>
      <c r="B38">
        <f t="shared" si="7"/>
        <v>4.5</v>
      </c>
      <c r="C38">
        <f t="shared" si="8"/>
        <v>0.4</v>
      </c>
      <c r="D38">
        <f t="shared" si="9"/>
        <v>-0.25334710313579978</v>
      </c>
      <c r="E38">
        <f t="shared" si="10"/>
        <v>1.6340134638368191</v>
      </c>
      <c r="F38">
        <f t="shared" si="11"/>
        <v>0.42651126136457523</v>
      </c>
    </row>
    <row r="39" spans="1:6" x14ac:dyDescent="0.45">
      <c r="A39">
        <v>1.04</v>
      </c>
      <c r="B39">
        <f t="shared" si="7"/>
        <v>1</v>
      </c>
      <c r="C39">
        <f t="shared" si="8"/>
        <v>0.05</v>
      </c>
      <c r="D39">
        <f t="shared" si="9"/>
        <v>-1.6448536269514726</v>
      </c>
      <c r="E39">
        <f t="shared" si="10"/>
        <v>1.019803902718557</v>
      </c>
      <c r="F39">
        <f t="shared" si="11"/>
        <v>1.703333929878037E-2</v>
      </c>
    </row>
    <row r="40" spans="1:6" x14ac:dyDescent="0.45">
      <c r="A40">
        <v>1.93</v>
      </c>
      <c r="B40">
        <f t="shared" si="7"/>
        <v>3</v>
      </c>
      <c r="C40">
        <f t="shared" si="8"/>
        <v>0.25</v>
      </c>
      <c r="D40">
        <f t="shared" si="9"/>
        <v>-0.67448975019608193</v>
      </c>
      <c r="E40">
        <f t="shared" si="10"/>
        <v>1.3892443989449805</v>
      </c>
      <c r="F40">
        <f t="shared" si="11"/>
        <v>0.28555730900777376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730DB32244E5C448B7A2DE5C1644527" ma:contentTypeVersion="1" ma:contentTypeDescription="새 문서를 만듭니다." ma:contentTypeScope="" ma:versionID="23dd534633623ac4ac4558e6c40bb778">
  <xsd:schema xmlns:xsd="http://www.w3.org/2001/XMLSchema" xmlns:xs="http://www.w3.org/2001/XMLSchema" xmlns:p="http://schemas.microsoft.com/office/2006/metadata/properties" xmlns:ns3="1eaaac31-f915-4ede-b930-fcb9ae3f493b" targetNamespace="http://schemas.microsoft.com/office/2006/metadata/properties" ma:root="true" ma:fieldsID="eb01d67ef847a7a62f4b9845abc9dc53" ns3:_="">
    <xsd:import namespace="1eaaac31-f915-4ede-b930-fcb9ae3f49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aac31-f915-4ede-b930-fcb9ae3f493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8DA735-10CE-4DF4-8C59-FC72FCDB32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aaac31-f915-4ede-b930-fcb9ae3f49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244A44-A4E1-4936-81C0-0F56C90E7D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92F2F4-D8EB-471C-B21E-8782BE7E8D13}">
  <ds:schemaRefs>
    <ds:schemaRef ds:uri="1eaaac31-f915-4ede-b930-fcb9ae3f493b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2026-05-09T12:31:35Z</dcterms:created>
  <dcterms:modified xsi:type="dcterms:W3CDTF">2026-05-09T13:33:33Z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0x0101005730DB32244E5C448B7A2DE5C1644527</vt:lpwstr>
  </property>
</Properties>
</file>