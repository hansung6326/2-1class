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3주차\"/>
    </mc:Choice>
  </mc:AlternateContent>
  <xr:revisionPtr revIDLastSave="0" documentId="13_ncr:1_{A78F8D30-4B27-4205-BE98-9432D2A5BCF8}" xr6:coauthVersionLast="47" xr6:coauthVersionMax="47" xr10:uidLastSave="{00000000-0000-0000-0000-000000000000}"/>
  <bookViews>
    <workbookView xWindow="-110" yWindow="-110" windowWidth="25820" windowHeight="15500" xr2:uid="{6E644BE4-FC52-46FF-9292-4700DD119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6" i="1"/>
  <c r="J6" i="1"/>
  <c r="H6" i="1"/>
  <c r="J5" i="1"/>
  <c r="J4" i="1"/>
  <c r="J3" i="1"/>
  <c r="I5" i="1"/>
  <c r="I4" i="1"/>
  <c r="I3" i="1"/>
  <c r="H5" i="1"/>
  <c r="H4" i="1"/>
  <c r="H3" i="1"/>
  <c r="G5" i="1"/>
  <c r="G4" i="1"/>
  <c r="G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<sst xmlns="http://schemas.openxmlformats.org/spreadsheetml/2006/main" count="15" uniqueCount="12">
  <si>
    <t>time</t>
    <phoneticPr fontId="1" type="noConversion"/>
  </si>
  <si>
    <t>rank</t>
    <phoneticPr fontId="1" type="noConversion"/>
  </si>
  <si>
    <t>n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</si>
  <si>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</si>
  <si>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</si>
  <si>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</si>
  <si>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np</t>
    <phoneticPr fontId="1" type="noConversion"/>
  </si>
  <si>
    <t>강의안</t>
    <phoneticPr fontId="1" type="noConversion"/>
  </si>
  <si>
    <t>Quartile.EXC</t>
    <phoneticPr fontId="1" type="noConversion"/>
  </si>
  <si>
    <t>Quartile.INC</t>
    <phoneticPr fontId="1" type="noConversion"/>
  </si>
  <si>
    <t>30percentile</t>
    <phoneticPr fontId="1" type="noConversion"/>
  </si>
  <si>
    <t>IQR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</si>
</sst>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9EE2-92F8-426E-88EE-3AE53F62E3C5}">
  <dimension ref="A1:J17"/>
  <sheetViews>
    <sheetView tabSelected="1" workbookViewId="0">
      <selection activeCell="H11" sqref="H11"/>
    </sheetView>
  </sheetViews>
  <sheetFormatPr defaultRowHeight="17" x14ac:dyDescent="0.45"/>
  <sheetData>
    <row r="1" spans="1:10" x14ac:dyDescent="0.45">
      <c r="A1" t="s">
        <v>0</v>
      </c>
      <c r="B1" t="s">
        <v>1</v>
      </c>
      <c r="C1" t="s">
        <v>0</v>
      </c>
      <c r="D1" t="s">
        <v>1</v>
      </c>
      <c r="F1" t="s">
        <v>2</v>
      </c>
      <c r="G1">
        <v>16</v>
      </c>
    </row>
    <row r="2" spans="1:10" x14ac:dyDescent="0.45">
      <c r="A2">
        <v>42</v>
      </c>
      <c r="B2">
        <f>_xlfn.RANK.EQ(A2,$A$2:$A$17,1)</f>
        <v>11</v>
      </c>
      <c r="C2">
        <v>31</v>
      </c>
      <c r="D2">
        <v>1</v>
      </c>
      <c r="G2" t="s">
        <v>6</v>
      </c>
      <c r="H2" t="s">
        <v>7</v>
      </c>
      <c r="I2" t="s">
        <v>9</v>
      </c>
      <c r="J2" t="s">
        <v>8</v>
      </c>
    </row>
    <row r="3" spans="1:10" x14ac:dyDescent="0.45">
      <c r="A3">
        <v>40</v>
      </c>
      <c r="B3">
        <f t="shared" ref="B3:B17" si="0">_xlfn.RANK.EQ(A3,$A$2:$A$17,1)</f>
        <v>8</v>
      </c>
      <c r="C3">
        <v>35</v>
      </c>
      <c r="D3">
        <v>2</v>
      </c>
      <c r="F3" t="s">
        <v>3</v>
      </c>
      <c r="G3">
        <f>G1*0.25</f>
        <v>4</v>
      </c>
      <c r="H3">
        <f>(C5+C6)/2</f>
        <v>38</v>
      </c>
      <c r="I3">
        <f>_xlfn.QUARTILE.INC(A2:A17,1)</f>
        <v>38</v>
      </c>
      <c r="J3">
        <f>_xlfn.QUARTILE.EXC(A2:A17,1)</f>
        <v>38</v>
      </c>
    </row>
    <row r="4" spans="1:10" x14ac:dyDescent="0.45">
      <c r="A4">
        <v>38</v>
      </c>
      <c r="B4">
        <f t="shared" si="0"/>
        <v>4</v>
      </c>
      <c r="C4">
        <v>37</v>
      </c>
      <c r="D4">
        <v>3</v>
      </c>
      <c r="F4" t="s">
        <v>4</v>
      </c>
      <c r="G4">
        <f>G1*0.5</f>
        <v>8</v>
      </c>
      <c r="H4">
        <f>(C9+C10)/2</f>
        <v>40</v>
      </c>
      <c r="I4">
        <f>_xlfn.QUARTILE.INC(A2:A17,2)</f>
        <v>40</v>
      </c>
      <c r="J4">
        <f>_xlfn.QUARTILE.EXC(A2:A17,2)</f>
        <v>40</v>
      </c>
    </row>
    <row r="5" spans="1:10" x14ac:dyDescent="0.45">
      <c r="A5">
        <v>37</v>
      </c>
      <c r="B5">
        <f t="shared" si="0"/>
        <v>3</v>
      </c>
      <c r="C5">
        <v>38</v>
      </c>
      <c r="D5">
        <v>4</v>
      </c>
      <c r="F5" t="s">
        <v>5</v>
      </c>
      <c r="G5">
        <f>G1*0.75</f>
        <v>12</v>
      </c>
      <c r="H5">
        <f>(C13+C14)/2</f>
        <v>43.5</v>
      </c>
      <c r="I5">
        <f>_xlfn.QUARTILE.INC(A2:A17,3)</f>
        <v>43.25</v>
      </c>
      <c r="J5">
        <f>_xlfn.QUARTILE.EXC(A2:A17,3)</f>
        <v>43.75</v>
      </c>
    </row>
    <row r="6" spans="1:10" x14ac:dyDescent="0.45">
      <c r="A6">
        <v>43</v>
      </c>
      <c r="B6">
        <f t="shared" si="0"/>
        <v>12</v>
      </c>
      <c r="C6">
        <v>38</v>
      </c>
      <c r="D6">
        <v>5</v>
      </c>
      <c r="F6" t="s">
        <v>11</v>
      </c>
      <c r="H6">
        <f>H5-H3</f>
        <v>5.5</v>
      </c>
      <c r="I6">
        <f t="shared" ref="I6:J6" si="1">I5-I3</f>
        <v>5.25</v>
      </c>
      <c r="J6">
        <f t="shared" si="1"/>
        <v>5.75</v>
      </c>
    </row>
    <row r="7" spans="1:10" x14ac:dyDescent="0.45">
      <c r="A7">
        <v>39</v>
      </c>
      <c r="B7">
        <f t="shared" si="0"/>
        <v>7</v>
      </c>
      <c r="C7">
        <v>38</v>
      </c>
      <c r="D7">
        <v>6</v>
      </c>
    </row>
    <row r="8" spans="1:10" x14ac:dyDescent="0.45">
      <c r="A8">
        <v>78</v>
      </c>
      <c r="B8">
        <f t="shared" si="0"/>
        <v>16</v>
      </c>
      <c r="C8">
        <v>39</v>
      </c>
      <c r="D8">
        <v>7</v>
      </c>
    </row>
    <row r="9" spans="1:10" x14ac:dyDescent="0.45">
      <c r="A9">
        <v>38</v>
      </c>
      <c r="B9">
        <f t="shared" si="0"/>
        <v>4</v>
      </c>
      <c r="C9">
        <v>40</v>
      </c>
      <c r="D9">
        <v>8</v>
      </c>
    </row>
    <row r="10" spans="1:10" x14ac:dyDescent="0.45">
      <c r="A10">
        <v>45</v>
      </c>
      <c r="B10">
        <f t="shared" si="0"/>
        <v>15</v>
      </c>
      <c r="C10">
        <v>40</v>
      </c>
      <c r="D10">
        <v>9</v>
      </c>
      <c r="F10" t="s">
        <v>10</v>
      </c>
      <c r="H10">
        <f>_xlfn.PERCENTILE.INC(A2:A17,0.3)</f>
        <v>38</v>
      </c>
    </row>
    <row r="11" spans="1:10" x14ac:dyDescent="0.45">
      <c r="A11">
        <v>44</v>
      </c>
      <c r="B11">
        <f t="shared" si="0"/>
        <v>13</v>
      </c>
      <c r="C11">
        <v>41</v>
      </c>
      <c r="D11">
        <v>10</v>
      </c>
      <c r="F11" t="s">
        <v>10</v>
      </c>
    </row>
    <row r="12" spans="1:10" x14ac:dyDescent="0.45">
      <c r="A12">
        <v>40</v>
      </c>
      <c r="B12">
        <f t="shared" si="0"/>
        <v>8</v>
      </c>
      <c r="C12">
        <v>42</v>
      </c>
      <c r="D12">
        <v>11</v>
      </c>
    </row>
    <row r="13" spans="1:10" x14ac:dyDescent="0.45">
      <c r="A13">
        <v>38</v>
      </c>
      <c r="B13">
        <f t="shared" si="0"/>
        <v>4</v>
      </c>
      <c r="C13">
        <v>43</v>
      </c>
      <c r="D13">
        <v>12</v>
      </c>
    </row>
    <row r="14" spans="1:10" x14ac:dyDescent="0.45">
      <c r="A14">
        <v>41</v>
      </c>
      <c r="B14">
        <f t="shared" si="0"/>
        <v>10</v>
      </c>
      <c r="C14">
        <v>44</v>
      </c>
      <c r="D14">
        <v>13</v>
      </c>
    </row>
    <row r="15" spans="1:10" x14ac:dyDescent="0.45">
      <c r="A15">
        <v>35</v>
      </c>
      <c r="B15">
        <f t="shared" si="0"/>
        <v>2</v>
      </c>
      <c r="C15">
        <v>44</v>
      </c>
      <c r="D15">
        <v>14</v>
      </c>
    </row>
    <row r="16" spans="1:10" x14ac:dyDescent="0.45">
      <c r="A16">
        <v>31</v>
      </c>
      <c r="B16">
        <f t="shared" si="0"/>
        <v>1</v>
      </c>
      <c r="C16">
        <v>45</v>
      </c>
      <c r="D16">
        <v>15</v>
      </c>
    </row>
    <row r="17" spans="1:4" x14ac:dyDescent="0.45">
      <c r="A17">
        <v>44</v>
      </c>
      <c r="B17">
        <f t="shared" si="0"/>
        <v>13</v>
      </c>
      <c r="C17">
        <v>78</v>
      </c>
      <c r="D17">
        <v>16</v>
      </c>
    </row>
  </sheetData>
  <sortState xmlns:xlrd2="http://schemas.microsoft.com/office/spreadsheetml/2017/richdata2" ref="C2:C17">
    <sortCondition ref="C2:C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2026-03-23T06:25:31Z</dcterms:created>
  <dcterms:modified xsi:type="dcterms:W3CDTF">2026-03-23T07:16:22Z</dcterms:modified>
</cp:coreProperties>
</file>