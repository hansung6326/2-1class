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2026_class\확률및통계\3주차\"/>
    </mc:Choice>
  </mc:AlternateContent>
  <xr:revisionPtr revIDLastSave="0" documentId="13_ncr:1_{62F70D9D-9774-42F7-827E-CB95F2710ED6}" xr6:coauthVersionLast="47" xr6:coauthVersionMax="47" xr10:uidLastSave="{00000000-0000-0000-0000-000000000000}"/>
  <bookViews>
    <workbookView xWindow="-110" yWindow="-110" windowWidth="25820" windowHeight="15500" xr2:uid="{EBD43111-8AB9-40C0-87C9-B03767E3433F}"/>
  </bookViews>
  <sheets>
    <sheet name="Sheet1" sheetId="1" r:id="rId1"/>
  </sheets>
  <definedNames>
    <definedName name="_xlchart.v1.0" hidden="1">Sheet1!$A$2:$A$41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10" i="1"/>
  <c r="G8" i="1"/>
  <c r="G7" i="1"/>
  <c r="I5" i="1"/>
  <c r="I4" i="1"/>
  <c r="I3" i="1"/>
  <c r="H5" i="1"/>
  <c r="H4" i="1"/>
  <c r="H3"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2" i="1"/>
</calcChain>
</file>

<file path=xl/sharedStrings.xml><?xml version="1.0" encoding="utf-8"?>
<sst xmlns="http://schemas.openxmlformats.org/spreadsheetml/2006/main" count="16" uniqueCount="14">
  <si>
    <t>Q1</t>
    <phoneticPr fontId="1" type="noConversion"/>
  </si>
  <si>
    <t>Q2</t>
    <phoneticPr fontId="1" type="noConversion"/>
  </si>
  <si>
    <t>Q3</t>
    <phoneticPr fontId="1" type="noConversion"/>
  </si>
  <si>
    <t>rank</t>
    <phoneticPr fontId="1" type="noConversion"/>
  </si>
  <si>
    <t>n</t>
    <phoneticPr fontId="1" type="noConversion"/>
  </si>
  <si>
    <t>np</t>
    <phoneticPr fontId="1" type="noConversion"/>
  </si>
  <si>
    <t>Quartile.INC</t>
    <phoneticPr fontId="1" type="noConversion"/>
  </si>
  <si>
    <t>Quartile.EXC</t>
    <phoneticPr fontId="1" type="noConversion"/>
  </si>
  <si>
    <t>평균</t>
    <phoneticPr fontId="1" type="noConversion"/>
  </si>
  <si>
    <t>표준편차</t>
    <phoneticPr fontId="1" type="noConversion"/>
  </si>
  <si>
    <t>pH</t>
    <phoneticPr fontId="1" type="noConversion"/>
  </si>
  <si>
    <t>90percentile.INC</t>
    <phoneticPr fontId="1" type="noConversion"/>
  </si>
  <si>
    <t>90percentile.EXC</t>
    <phoneticPr fontId="1" type="noConversion"/>
  </si>
  <si>
    <t>pH 측정값의 75% 이상이 5.0 이하에 집중되어 있으며, 상자그림의 위쪽 꼬리가 아래쪽보다 길게 이어진 형태를 보인다. 이것은 대다수의 데이터가 낮은 pH 구간에 밀집해 있고, 평균을 높이는 일부 높은 pH 값들이 존재하여 위로 길게 늘어진 비대칭적 분포임을 의미한다. 5.5 이상의 값들은 일반적인 범위를 벗어난 이상치로 간주될 수 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</si>
</sst>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2" fontId="0" fillId="0" borderId="0" xfId="0" applyNumberFormat="1">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altLang="ko-KR" sz="1400" b="0" i="0" u="none" strike="noStrike" baseline="0">
                <a:solidFill>
                  <a:sysClr val="windowText" lastClr="000000">
                    <a:lumMod val="65000"/>
                    <a:lumOff val="35000"/>
                  </a:sysClr>
                </a:solidFill>
                <a:latin typeface="Aptos Narrow" panose="02110004020202020204"/>
                <a:ea typeface="맑은 고딕" panose="020B0503020000020004" pitchFamily="50" charset="-127"/>
              </a:rPr>
              <a:t>pH </a:t>
            </a:r>
            <a:r>
              <a:rPr lang="ko-KR" altLang="en-US" sz="1400" b="0" i="0" u="none" strike="noStrike" baseline="0">
                <a:solidFill>
                  <a:sysClr val="windowText" lastClr="000000">
                    <a:lumMod val="65000"/>
                    <a:lumOff val="35000"/>
                  </a:sysClr>
                </a:solidFill>
                <a:latin typeface="Aptos Narrow" panose="02110004020202020204"/>
                <a:ea typeface="맑은 고딕" panose="020B0503020000020004" pitchFamily="50" charset="-127"/>
              </a:rPr>
              <a:t>분포도</a:t>
            </a:r>
            <a:endParaRPr lang="en-US" altLang="ko-KR" sz="1400" b="0" i="0" u="none" strike="noStrike" baseline="0">
              <a:solidFill>
                <a:sysClr val="windowText" lastClr="000000">
                  <a:lumMod val="65000"/>
                  <a:lumOff val="35000"/>
                </a:sysClr>
              </a:solidFill>
              <a:latin typeface="Aptos Narrow" panose="02110004020202020204"/>
              <a:ea typeface="맑은 고딕" panose="020B0503020000020004" pitchFamily="50" charset="-127"/>
            </a:endParaRPr>
          </a:p>
        </cx:rich>
      </cx:tx>
    </cx:title>
    <cx:plotArea>
      <cx:plotAreaRegion>
        <cx:series layoutId="boxWhisker" uniqueId="{2A32509F-E3E6-4A5B-97D4-B4947F4F1662}">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cx:valScaling min="4"/>
        <cx:title>
          <cx:tx>
            <cx:rich>
              <a:bodyPr spcFirstLastPara="1" vertOverflow="ellipsis" horzOverflow="overflow" wrap="square" lIns="0" tIns="0" rIns="0" bIns="0" anchor="ctr" anchorCtr="1"/>
              <a:lstStyle/>
              <a:p>
                <a:pPr algn="ctr" rtl="0">
                  <a:defRPr/>
                </a:pPr>
                <a:r>
                  <a:rPr lang="en-US" altLang="ko-KR" sz="900" b="0" i="0" u="none" strike="noStrike" baseline="0">
                    <a:solidFill>
                      <a:sysClr val="windowText" lastClr="000000">
                        <a:lumMod val="65000"/>
                        <a:lumOff val="35000"/>
                      </a:sysClr>
                    </a:solidFill>
                    <a:latin typeface="Aptos Narrow" panose="02110004020202020204"/>
                    <a:ea typeface="맑은 고딕" panose="020B0503020000020004" pitchFamily="50" charset="-127"/>
                  </a:rPr>
                  <a:t>pH</a:t>
                </a:r>
                <a:endParaRPr lang="ko-KR" altLang="en-US" sz="900" b="0" i="0" u="none" strike="noStrike" baseline="0">
                  <a:solidFill>
                    <a:sysClr val="windowText" lastClr="000000">
                      <a:lumMod val="65000"/>
                      <a:lumOff val="35000"/>
                    </a:sysClr>
                  </a:solidFill>
                  <a:latin typeface="Aptos Narrow" panose="02110004020202020204"/>
                  <a:ea typeface="맑은 고딕" panose="020B0503020000020004" pitchFamily="50" charset="-127"/>
                </a:endParaRPr>
              </a:p>
            </cx:rich>
          </cx:tx>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657225</xdr:colOff>
      <xdr:row>12</xdr:row>
      <xdr:rowOff>0</xdr:rowOff>
    </xdr:from>
    <xdr:to>
      <xdr:col>11</xdr:col>
      <xdr:colOff>606425</xdr:colOff>
      <xdr:row>24</xdr:row>
      <xdr:rowOff>152400</xdr:rowOff>
    </xdr:to>
    <mc:AlternateContent xmlns:mc="http://schemas.openxmlformats.org/markup-compatibility/2006">
      <mc:Choice xmlns:cx1="http://schemas.microsoft.com/office/drawing/2015/9/8/chartex" Requires="cx1">
        <xdr:graphicFrame macro="">
          <xdr:nvGraphicFramePr>
            <xdr:cNvPr id="2" name="차트 1">
              <a:extLst>
                <a:ext uri="{FF2B5EF4-FFF2-40B4-BE49-F238E27FC236}">
                  <a16:creationId xmlns:a16="http://schemas.microsoft.com/office/drawing/2014/main" id="{D950315E-E370-87E0-ED92-BEC507E7F6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98825" y="2590800"/>
              <a:ext cx="5448300" cy="2743200"/>
            </a:xfrm>
            <a:prstGeom prst="rect">
              <a:avLst/>
            </a:prstGeom>
            <a:solidFill>
              <a:prstClr val="white"/>
            </a:solidFill>
            <a:ln w="1">
              <a:solidFill>
                <a:prstClr val="green"/>
              </a:solidFill>
            </a:ln>
          </xdr:spPr>
          <xdr:txBody>
            <a:bodyPr vertOverflow="clip" horzOverflow="clip"/>
            <a:lstStyle/>
            <a:p>
              <a:r>
                <a:rPr lang="ko-KR" altLang="en-US" sz="1100"/>
                <a:t>Excel 버전에서는 이 차트를 사용할 수 없습니다.
이 도형 편집하거나 이 통합 문서를 다른 파일 형식으로 저장하면 차트가 영구적으로 손상됩니다.</a:t>
              </a:r>
            </a:p>
          </xdr:txBody>
        </xdr:sp>
      </mc:Fallback>
    </mc:AlternateContent>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216E-EB0C-4E20-8995-19AEC908F4F0}">
  <dimension ref="A1:M41"/>
  <sheetViews>
    <sheetView tabSelected="1" topLeftCell="A2" workbookViewId="0">
      <selection activeCell="I11" sqref="I11"/>
    </sheetView>
  </sheetViews>
  <sheetFormatPr defaultRowHeight="17" x14ac:dyDescent="0.45"/>
  <cols>
    <col min="6" max="6" width="14.75" bestFit="1" customWidth="1"/>
    <col min="8" max="8" width="11.33203125" bestFit="1" customWidth="1"/>
    <col min="9" max="9" width="11.4140625" bestFit="1" customWidth="1"/>
  </cols>
  <sheetData>
    <row r="1" spans="1:9" x14ac:dyDescent="0.45">
      <c r="A1" t="s">
        <v>10</v>
      </c>
      <c r="B1" t="s">
        <v>3</v>
      </c>
      <c r="C1" t="s">
        <v>10</v>
      </c>
      <c r="D1" t="s">
        <v>3</v>
      </c>
      <c r="F1" t="s">
        <v>4</v>
      </c>
      <c r="G1">
        <v>40</v>
      </c>
    </row>
    <row r="2" spans="1:9" x14ac:dyDescent="0.45">
      <c r="A2">
        <v>4.8</v>
      </c>
      <c r="B2">
        <f>_xlfn.RANK.EQ(A2,$A$2:$A$41, 1)</f>
        <v>19</v>
      </c>
      <c r="C2">
        <v>4.3099999999999996</v>
      </c>
      <c r="D2">
        <v>1</v>
      </c>
      <c r="G2" t="s">
        <v>5</v>
      </c>
      <c r="H2" t="s">
        <v>6</v>
      </c>
      <c r="I2" t="s">
        <v>7</v>
      </c>
    </row>
    <row r="3" spans="1:9" x14ac:dyDescent="0.45">
      <c r="A3">
        <v>4.75</v>
      </c>
      <c r="B3">
        <f t="shared" ref="B3:B41" si="0">_xlfn.RANK.EQ(A3,$A$2:$A$41, 1)</f>
        <v>17</v>
      </c>
      <c r="C3">
        <v>4.3499999999999996</v>
      </c>
      <c r="D3">
        <v>2</v>
      </c>
      <c r="F3" t="s">
        <v>0</v>
      </c>
      <c r="G3">
        <v>10</v>
      </c>
      <c r="H3" s="1">
        <f>_xlfn.QUARTILE.INC(A2:A41,1)</f>
        <v>4.6450000000000005</v>
      </c>
      <c r="I3" s="1">
        <f>_xlfn.QUARTILE.EXC(A2:A41,1)</f>
        <v>4.6349999999999998</v>
      </c>
    </row>
    <row r="4" spans="1:9" x14ac:dyDescent="0.45">
      <c r="A4">
        <v>4.92</v>
      </c>
      <c r="B4">
        <f t="shared" si="0"/>
        <v>28</v>
      </c>
      <c r="C4">
        <v>4.3499999999999996</v>
      </c>
      <c r="D4">
        <v>3</v>
      </c>
      <c r="F4" t="s">
        <v>1</v>
      </c>
      <c r="G4">
        <v>20</v>
      </c>
      <c r="H4" s="1">
        <f>_xlfn.QUARTILE.INC(A2:A41,2)</f>
        <v>4.8</v>
      </c>
      <c r="I4" s="1">
        <f>_xlfn.QUARTILE.EXC(A2:A41,2)</f>
        <v>4.8</v>
      </c>
    </row>
    <row r="5" spans="1:9" x14ac:dyDescent="0.45">
      <c r="A5">
        <v>4.8</v>
      </c>
      <c r="B5">
        <f t="shared" si="0"/>
        <v>19</v>
      </c>
      <c r="C5">
        <v>4.42</v>
      </c>
      <c r="D5">
        <v>4</v>
      </c>
      <c r="F5" t="s">
        <v>2</v>
      </c>
      <c r="G5">
        <v>30</v>
      </c>
      <c r="H5" s="1">
        <f>_xlfn.QUARTILE.INC(A2:A41,3)</f>
        <v>4.9625000000000004</v>
      </c>
      <c r="I5" s="1">
        <f>_xlfn.QUARTILE.EXC(A2:A41,3)</f>
        <v>4.9874999999999998</v>
      </c>
    </row>
    <row r="6" spans="1:9" x14ac:dyDescent="0.45">
      <c r="A6">
        <v>5.8</v>
      </c>
      <c r="B6">
        <f t="shared" si="0"/>
        <v>40</v>
      </c>
      <c r="C6">
        <v>4.4800000000000004</v>
      </c>
      <c r="D6">
        <v>5</v>
      </c>
    </row>
    <row r="7" spans="1:9" x14ac:dyDescent="0.45">
      <c r="A7">
        <v>4.8</v>
      </c>
      <c r="B7">
        <f t="shared" si="0"/>
        <v>19</v>
      </c>
      <c r="C7">
        <v>4.5</v>
      </c>
      <c r="D7">
        <v>6</v>
      </c>
      <c r="F7" t="s">
        <v>11</v>
      </c>
      <c r="G7" s="1">
        <f>_xlfn.PERCENTILE.INC(A2:A41,0.9)</f>
        <v>5.383</v>
      </c>
    </row>
    <row r="8" spans="1:9" x14ac:dyDescent="0.45">
      <c r="A8">
        <v>4.3099999999999996</v>
      </c>
      <c r="B8">
        <f t="shared" si="0"/>
        <v>1</v>
      </c>
      <c r="C8">
        <v>4.51</v>
      </c>
      <c r="D8">
        <v>7</v>
      </c>
      <c r="F8" t="s">
        <v>12</v>
      </c>
      <c r="G8" s="1">
        <f>_xlfn.PERCENTILE.EXC(A2:A41,0.9)</f>
        <v>5.4870000000000001</v>
      </c>
    </row>
    <row r="9" spans="1:9" x14ac:dyDescent="0.45">
      <c r="A9">
        <v>5.5</v>
      </c>
      <c r="B9">
        <f t="shared" si="0"/>
        <v>37</v>
      </c>
      <c r="C9">
        <v>4.57</v>
      </c>
      <c r="D9">
        <v>8</v>
      </c>
    </row>
    <row r="10" spans="1:9" x14ac:dyDescent="0.45">
      <c r="A10">
        <v>5</v>
      </c>
      <c r="B10">
        <f t="shared" si="0"/>
        <v>31</v>
      </c>
      <c r="C10">
        <v>4.58</v>
      </c>
      <c r="D10">
        <v>9</v>
      </c>
      <c r="F10" t="s">
        <v>8</v>
      </c>
      <c r="G10" s="1">
        <f>AVERAGE(A2:A41)</f>
        <v>4.8377500000000015</v>
      </c>
    </row>
    <row r="11" spans="1:9" x14ac:dyDescent="0.45">
      <c r="A11">
        <v>4.57</v>
      </c>
      <c r="B11">
        <f t="shared" si="0"/>
        <v>8</v>
      </c>
      <c r="C11">
        <v>4.63</v>
      </c>
      <c r="D11">
        <v>10</v>
      </c>
      <c r="F11" t="s">
        <v>9</v>
      </c>
      <c r="G11" s="1">
        <f>_xlfn.STDEV.S(A2:A41)</f>
        <v>0.35389037488450781</v>
      </c>
    </row>
    <row r="12" spans="1:9" x14ac:dyDescent="0.45">
      <c r="A12">
        <v>4.9000000000000004</v>
      </c>
      <c r="B12">
        <f t="shared" si="0"/>
        <v>26</v>
      </c>
      <c r="C12">
        <v>4.6500000000000004</v>
      </c>
      <c r="D12">
        <v>11</v>
      </c>
    </row>
    <row r="13" spans="1:9" x14ac:dyDescent="0.45">
      <c r="A13">
        <v>4.63</v>
      </c>
      <c r="B13">
        <f t="shared" si="0"/>
        <v>10</v>
      </c>
      <c r="C13">
        <v>4.6500000000000004</v>
      </c>
      <c r="D13">
        <v>12</v>
      </c>
    </row>
    <row r="14" spans="1:9" x14ac:dyDescent="0.45">
      <c r="A14">
        <v>4.6500000000000004</v>
      </c>
      <c r="B14">
        <f t="shared" si="0"/>
        <v>11</v>
      </c>
      <c r="C14">
        <v>4.6500000000000004</v>
      </c>
      <c r="D14">
        <v>13</v>
      </c>
    </row>
    <row r="15" spans="1:9" x14ac:dyDescent="0.45">
      <c r="A15">
        <v>4.91</v>
      </c>
      <c r="B15">
        <f t="shared" si="0"/>
        <v>27</v>
      </c>
      <c r="C15">
        <v>4.6500000000000004</v>
      </c>
      <c r="D15">
        <v>14</v>
      </c>
    </row>
    <row r="16" spans="1:9" x14ac:dyDescent="0.45">
      <c r="A16">
        <v>4.3499999999999996</v>
      </c>
      <c r="B16">
        <f t="shared" si="0"/>
        <v>2</v>
      </c>
      <c r="C16">
        <v>4.71</v>
      </c>
      <c r="D16">
        <v>15</v>
      </c>
    </row>
    <row r="17" spans="1:13" x14ac:dyDescent="0.45">
      <c r="A17">
        <v>4.42</v>
      </c>
      <c r="B17">
        <f t="shared" si="0"/>
        <v>4</v>
      </c>
      <c r="C17">
        <v>4.72</v>
      </c>
      <c r="D17">
        <v>16</v>
      </c>
    </row>
    <row r="18" spans="1:13" x14ac:dyDescent="0.45">
      <c r="A18">
        <v>5.78</v>
      </c>
      <c r="B18">
        <f t="shared" si="0"/>
        <v>39</v>
      </c>
      <c r="C18">
        <v>4.75</v>
      </c>
      <c r="D18">
        <v>17</v>
      </c>
    </row>
    <row r="19" spans="1:13" x14ac:dyDescent="0.45">
      <c r="A19">
        <v>4.95</v>
      </c>
      <c r="B19">
        <f t="shared" si="0"/>
        <v>30</v>
      </c>
      <c r="C19">
        <v>4.75</v>
      </c>
      <c r="D19">
        <v>18</v>
      </c>
    </row>
    <row r="20" spans="1:13" x14ac:dyDescent="0.45">
      <c r="A20">
        <v>4.92</v>
      </c>
      <c r="B20">
        <f t="shared" si="0"/>
        <v>28</v>
      </c>
      <c r="C20">
        <v>4.8</v>
      </c>
      <c r="D20">
        <v>19</v>
      </c>
    </row>
    <row r="21" spans="1:13" x14ac:dyDescent="0.45">
      <c r="A21">
        <v>4.82</v>
      </c>
      <c r="B21">
        <f t="shared" si="0"/>
        <v>24</v>
      </c>
      <c r="C21">
        <v>4.8</v>
      </c>
      <c r="D21">
        <v>20</v>
      </c>
    </row>
    <row r="22" spans="1:13" x14ac:dyDescent="0.45">
      <c r="A22">
        <v>4.8</v>
      </c>
      <c r="B22">
        <f t="shared" si="0"/>
        <v>19</v>
      </c>
      <c r="C22">
        <v>4.8</v>
      </c>
      <c r="D22">
        <v>21</v>
      </c>
    </row>
    <row r="23" spans="1:13" x14ac:dyDescent="0.45">
      <c r="A23">
        <v>4.5</v>
      </c>
      <c r="B23">
        <f t="shared" si="0"/>
        <v>6</v>
      </c>
      <c r="C23">
        <v>4.8</v>
      </c>
      <c r="D23">
        <v>22</v>
      </c>
    </row>
    <row r="24" spans="1:13" x14ac:dyDescent="0.45">
      <c r="A24">
        <v>5</v>
      </c>
      <c r="B24">
        <f t="shared" si="0"/>
        <v>31</v>
      </c>
      <c r="C24">
        <v>4.8099999999999996</v>
      </c>
      <c r="D24">
        <v>23</v>
      </c>
    </row>
    <row r="25" spans="1:13" x14ac:dyDescent="0.45">
      <c r="A25">
        <v>4.6500000000000004</v>
      </c>
      <c r="B25">
        <f t="shared" si="0"/>
        <v>11</v>
      </c>
      <c r="C25">
        <v>4.82</v>
      </c>
      <c r="D25">
        <v>24</v>
      </c>
    </row>
    <row r="26" spans="1:13" x14ac:dyDescent="0.45">
      <c r="A26">
        <v>5.37</v>
      </c>
      <c r="B26">
        <f t="shared" si="0"/>
        <v>36</v>
      </c>
      <c r="C26">
        <v>4.82</v>
      </c>
      <c r="D26">
        <v>25</v>
      </c>
    </row>
    <row r="27" spans="1:13" ht="17" customHeight="1" x14ac:dyDescent="0.45">
      <c r="A27">
        <v>4.75</v>
      </c>
      <c r="B27">
        <f t="shared" si="0"/>
        <v>17</v>
      </c>
      <c r="C27">
        <v>4.9000000000000004</v>
      </c>
      <c r="D27">
        <v>26</v>
      </c>
      <c r="F27" s="2" t="s">
        <v>13</v>
      </c>
      <c r="G27" s="2"/>
      <c r="H27" s="2"/>
      <c r="I27" s="2"/>
      <c r="J27" s="2"/>
      <c r="K27" s="2"/>
      <c r="L27" s="2"/>
      <c r="M27" s="2"/>
    </row>
    <row r="28" spans="1:13" x14ac:dyDescent="0.45">
      <c r="A28">
        <v>4.4800000000000004</v>
      </c>
      <c r="B28">
        <f t="shared" si="0"/>
        <v>5</v>
      </c>
      <c r="C28">
        <v>4.91</v>
      </c>
      <c r="D28">
        <v>27</v>
      </c>
      <c r="F28" s="2"/>
      <c r="G28" s="2"/>
      <c r="H28" s="2"/>
      <c r="I28" s="2"/>
      <c r="J28" s="2"/>
      <c r="K28" s="2"/>
      <c r="L28" s="2"/>
      <c r="M28" s="2"/>
    </row>
    <row r="29" spans="1:13" x14ac:dyDescent="0.45">
      <c r="A29">
        <v>4.82</v>
      </c>
      <c r="B29">
        <f t="shared" si="0"/>
        <v>24</v>
      </c>
      <c r="C29">
        <v>4.92</v>
      </c>
      <c r="D29">
        <v>28</v>
      </c>
      <c r="F29" s="2"/>
      <c r="G29" s="2"/>
      <c r="H29" s="2"/>
      <c r="I29" s="2"/>
      <c r="J29" s="2"/>
      <c r="K29" s="2"/>
      <c r="L29" s="2"/>
      <c r="M29" s="2"/>
    </row>
    <row r="30" spans="1:13" x14ac:dyDescent="0.45">
      <c r="A30">
        <v>4.8099999999999996</v>
      </c>
      <c r="B30">
        <f t="shared" si="0"/>
        <v>23</v>
      </c>
      <c r="C30">
        <v>4.92</v>
      </c>
      <c r="D30">
        <v>29</v>
      </c>
      <c r="F30" s="2"/>
      <c r="G30" s="2"/>
      <c r="H30" s="2"/>
      <c r="I30" s="2"/>
      <c r="J30" s="2"/>
      <c r="K30" s="2"/>
      <c r="L30" s="2"/>
      <c r="M30" s="2"/>
    </row>
    <row r="31" spans="1:13" x14ac:dyDescent="0.45">
      <c r="A31">
        <v>4.51</v>
      </c>
      <c r="B31">
        <f t="shared" si="0"/>
        <v>7</v>
      </c>
      <c r="C31">
        <v>4.95</v>
      </c>
      <c r="D31">
        <v>30</v>
      </c>
    </row>
    <row r="32" spans="1:13" x14ac:dyDescent="0.45">
      <c r="A32">
        <v>4.6500000000000004</v>
      </c>
      <c r="B32">
        <f t="shared" si="0"/>
        <v>11</v>
      </c>
      <c r="C32">
        <v>5</v>
      </c>
      <c r="D32">
        <v>31</v>
      </c>
    </row>
    <row r="33" spans="1:4" x14ac:dyDescent="0.45">
      <c r="A33">
        <v>5.0199999999999996</v>
      </c>
      <c r="B33">
        <f t="shared" si="0"/>
        <v>35</v>
      </c>
      <c r="C33">
        <v>5</v>
      </c>
      <c r="D33">
        <v>32</v>
      </c>
    </row>
    <row r="34" spans="1:4" x14ac:dyDescent="0.45">
      <c r="A34">
        <v>4.3499999999999996</v>
      </c>
      <c r="B34">
        <f t="shared" si="0"/>
        <v>2</v>
      </c>
      <c r="C34">
        <v>5</v>
      </c>
      <c r="D34">
        <v>33</v>
      </c>
    </row>
    <row r="35" spans="1:4" x14ac:dyDescent="0.45">
      <c r="A35">
        <v>4.71</v>
      </c>
      <c r="B35">
        <f t="shared" si="0"/>
        <v>15</v>
      </c>
      <c r="C35">
        <v>5</v>
      </c>
      <c r="D35">
        <v>34</v>
      </c>
    </row>
    <row r="36" spans="1:4" x14ac:dyDescent="0.45">
      <c r="A36">
        <v>4.72</v>
      </c>
      <c r="B36">
        <f t="shared" si="0"/>
        <v>16</v>
      </c>
      <c r="C36">
        <v>5.0199999999999996</v>
      </c>
      <c r="D36">
        <v>35</v>
      </c>
    </row>
    <row r="37" spans="1:4" x14ac:dyDescent="0.45">
      <c r="A37">
        <v>5</v>
      </c>
      <c r="B37">
        <f t="shared" si="0"/>
        <v>31</v>
      </c>
      <c r="C37">
        <v>5.37</v>
      </c>
      <c r="D37">
        <v>36</v>
      </c>
    </row>
    <row r="38" spans="1:4" x14ac:dyDescent="0.45">
      <c r="A38">
        <v>5</v>
      </c>
      <c r="B38">
        <f t="shared" si="0"/>
        <v>31</v>
      </c>
      <c r="C38">
        <v>5.5</v>
      </c>
      <c r="D38">
        <v>37</v>
      </c>
    </row>
    <row r="39" spans="1:4" x14ac:dyDescent="0.45">
      <c r="A39">
        <v>4.6500000000000004</v>
      </c>
      <c r="B39">
        <f t="shared" si="0"/>
        <v>11</v>
      </c>
      <c r="C39">
        <v>5.56</v>
      </c>
      <c r="D39">
        <v>38</v>
      </c>
    </row>
    <row r="40" spans="1:4" x14ac:dyDescent="0.45">
      <c r="A40">
        <v>4.58</v>
      </c>
      <c r="B40">
        <f t="shared" si="0"/>
        <v>9</v>
      </c>
      <c r="C40">
        <v>5.78</v>
      </c>
      <c r="D40">
        <v>39</v>
      </c>
    </row>
    <row r="41" spans="1:4" x14ac:dyDescent="0.45">
      <c r="A41">
        <v>5.56</v>
      </c>
      <c r="B41">
        <f t="shared" si="0"/>
        <v>38</v>
      </c>
      <c r="C41">
        <v>5.8</v>
      </c>
      <c r="D41">
        <v>40</v>
      </c>
    </row>
  </sheetData>
  <sortState xmlns:xlrd2="http://schemas.microsoft.com/office/spreadsheetml/2017/richdata2" ref="C2:C41">
    <sortCondition ref="C2:C41"/>
  </sortState>
  <mergeCells count="1">
    <mergeCell ref="F27:M30"/>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안 태호</dc:creator>
  <cp:lastModifiedBy>안 태호</cp:lastModifiedBy>
  <dcterms:created xsi:type="dcterms:W3CDTF">2026-03-24T08:29:03Z</dcterms:created>
  <dcterms:modified xsi:type="dcterms:W3CDTF">2026-04-25T18:58:21Z</dcterms:modified>
</cp:coreProperties>
</file>