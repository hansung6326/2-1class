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11주차\"/>
    </mc:Choice>
  </mc:AlternateContent>
  <xr:revisionPtr revIDLastSave="0" documentId="13_ncr:1_{B47F0396-00DC-4602-9238-99CBE101EB12}" xr6:coauthVersionLast="47" xr6:coauthVersionMax="47" xr10:uidLastSave="{00000000-0000-0000-0000-000000000000}"/>
  <bookViews>
    <workbookView xWindow="-110" yWindow="-110" windowWidth="25820" windowHeight="15500" xr2:uid="{3AE59282-BF95-45FA-9C41-FFD38C0C3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0" i="1" l="1"/>
  <c r="T18" i="1"/>
  <c r="T6" i="1"/>
  <c r="T11" i="1" s="1"/>
  <c r="T5" i="1"/>
  <c r="T4" i="1"/>
  <c r="T3" i="1"/>
  <c r="T19" i="1"/>
  <c r="J8" i="1"/>
  <c r="J10" i="1" s="1"/>
  <c r="J9" i="1"/>
  <c r="S11" i="1" l="1"/>
</calcChain>
</file>

<file path=xl/sharedStrings.xml><?xml version="1.0" encoding="utf-8"?>
<sst xmlns="http://schemas.openxmlformats.org/spreadsheetml/2006/main" count="49" uniqueCount="34">
  <si>
    <t>1. (1)</t>
    <phoneticPr fontId="1" type="noConversion"/>
  </si>
  <si>
    <t>H0</t>
    <phoneticPr fontId="1" type="noConversion"/>
  </si>
  <si>
    <t>H1</t>
    <phoneticPr fontId="1" type="noConversion"/>
  </si>
  <si>
    <t>mu=</t>
    <phoneticPr fontId="1" type="noConversion"/>
  </si>
  <si>
    <t>mu&gt;</t>
    <phoneticPr fontId="1" type="noConversion"/>
  </si>
  <si>
    <t>mu = 13</t>
    <phoneticPr fontId="1" type="noConversion"/>
  </si>
  <si>
    <t>mu &lt; 13</t>
    <phoneticPr fontId="1" type="noConversion"/>
  </si>
  <si>
    <t>1. (2)</t>
    <phoneticPr fontId="1" type="noConversion"/>
  </si>
  <si>
    <t>mu = 2</t>
    <phoneticPr fontId="1" type="noConversion"/>
  </si>
  <si>
    <t>mu &gt; 2</t>
    <phoneticPr fontId="1" type="noConversion"/>
  </si>
  <si>
    <t>1. (3)</t>
    <phoneticPr fontId="1" type="noConversion"/>
  </si>
  <si>
    <t>mu = 6</t>
    <phoneticPr fontId="1" type="noConversion"/>
  </si>
  <si>
    <t>mu ≠ 6</t>
    <phoneticPr fontId="1" type="noConversion"/>
  </si>
  <si>
    <t>왼쪽 단측검정</t>
    <phoneticPr fontId="1" type="noConversion"/>
  </si>
  <si>
    <t>오른쪽 단측검정</t>
    <phoneticPr fontId="1" type="noConversion"/>
  </si>
  <si>
    <t>양측검정</t>
    <phoneticPr fontId="1" type="noConversion"/>
  </si>
  <si>
    <t>n</t>
    <phoneticPr fontId="1" type="noConversion"/>
  </si>
  <si>
    <t>xbar</t>
    <phoneticPr fontId="1" type="noConversion"/>
  </si>
  <si>
    <t>s</t>
    <phoneticPr fontId="1" type="noConversion"/>
  </si>
  <si>
    <t>alpha</t>
    <phoneticPr fontId="1" type="noConversion"/>
  </si>
  <si>
    <t>z(0.05)</t>
    <phoneticPr fontId="1" type="noConversion"/>
  </si>
  <si>
    <t>p-value</t>
    <phoneticPr fontId="1" type="noConversion"/>
  </si>
  <si>
    <t>검정통계량</t>
    <phoneticPr fontId="1" type="noConversion"/>
  </si>
  <si>
    <t>3번</t>
    <phoneticPr fontId="1" type="noConversion"/>
  </si>
  <si>
    <t>2번</t>
    <phoneticPr fontId="1" type="noConversion"/>
  </si>
  <si>
    <t>mu≠</t>
    <phoneticPr fontId="1" type="noConversion"/>
  </si>
  <si>
    <t>신뢰수준</t>
    <phoneticPr fontId="1" type="noConversion"/>
  </si>
  <si>
    <t>z(0.015)</t>
    <phoneticPr fontId="1" type="noConversion"/>
  </si>
  <si>
    <t>97% C.I.</t>
    <phoneticPr fontId="1" type="noConversion"/>
  </si>
  <si>
    <t>L</t>
    <phoneticPr fontId="1" type="noConversion"/>
  </si>
  <si>
    <t>U</t>
    <phoneticPr fontId="1" type="noConversion"/>
  </si>
  <si>
    <t>3. (1)번</t>
    <phoneticPr fontId="1" type="noConversion"/>
  </si>
  <si>
    <t>3. (2)번</t>
    <phoneticPr fontId="1" type="noConversion"/>
  </si>
  <si>
    <t>표준오차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</si>
</sst>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0</xdr:row>
      <xdr:rowOff>127000</xdr:rowOff>
    </xdr:from>
    <xdr:to>
      <xdr:col>5</xdr:col>
      <xdr:colOff>546100</xdr:colOff>
      <xdr:row>2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BDC977-29A1-40F7-D8D0-57CAC6C6E131}"/>
            </a:ext>
          </a:extLst>
        </xdr:cNvPr>
        <xdr:cNvSpPr txBox="1"/>
      </xdr:nvSpPr>
      <xdr:spPr>
        <a:xfrm>
          <a:off x="69850" y="127000"/>
          <a:ext cx="3778250" cy="39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aseline="0"/>
            <a:t>다음 경우 모평균에 대한 귀무가설과 대립가설을 쓰시오</a:t>
          </a:r>
          <a:endParaRPr lang="ko-KR" altLang="en-US" sz="1100"/>
        </a:p>
      </xdr:txBody>
    </xdr:sp>
    <xdr:clientData/>
  </xdr:twoCellAnchor>
  <xdr:twoCellAnchor>
    <xdr:from>
      <xdr:col>0</xdr:col>
      <xdr:colOff>107950</xdr:colOff>
      <xdr:row>2</xdr:row>
      <xdr:rowOff>139700</xdr:rowOff>
    </xdr:from>
    <xdr:to>
      <xdr:col>4</xdr:col>
      <xdr:colOff>177800</xdr:colOff>
      <xdr:row>5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F6A73E-B5F6-446D-A02D-F381086F9343}"/>
            </a:ext>
          </a:extLst>
        </xdr:cNvPr>
        <xdr:cNvSpPr txBox="1"/>
      </xdr:nvSpPr>
      <xdr:spPr>
        <a:xfrm>
          <a:off x="107950" y="571500"/>
          <a:ext cx="271145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(1) </a:t>
          </a:r>
          <a:r>
            <a:rPr lang="ko-KR" altLang="en-US" sz="1100" baseline="0"/>
            <a:t>새로운 수술에 따르는 집중 치료에 필요한 평균시간이 </a:t>
          </a:r>
          <a:r>
            <a:rPr lang="en-US" altLang="ko-KR" sz="1100" baseline="0"/>
            <a:t>13</a:t>
          </a:r>
          <a:r>
            <a:rPr lang="ko-KR" altLang="en-US" sz="1100" baseline="0"/>
            <a:t>시간 보다 적다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0</xdr:col>
      <xdr:colOff>101600</xdr:colOff>
      <xdr:row>9</xdr:row>
      <xdr:rowOff>146050</xdr:rowOff>
    </xdr:from>
    <xdr:to>
      <xdr:col>4</xdr:col>
      <xdr:colOff>171450</xdr:colOff>
      <xdr:row>12</xdr:row>
      <xdr:rowOff>82550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A5F1A3-AD2E-4AB6-9D8D-A9A736AA5341}"/>
            </a:ext>
          </a:extLst>
        </xdr:cNvPr>
        <xdr:cNvSpPr txBox="1"/>
      </xdr:nvSpPr>
      <xdr:spPr>
        <a:xfrm>
          <a:off x="101600" y="2089150"/>
          <a:ext cx="271145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(2) </a:t>
          </a:r>
          <a:r>
            <a:rPr lang="ko-KR" altLang="en-US" sz="1100" baseline="0"/>
            <a:t>유명한 아이스크림의 지방 함유량이 표시에 적힌 </a:t>
          </a:r>
          <a:r>
            <a:rPr lang="en-US" altLang="ko-KR" sz="1100" baseline="0"/>
            <a:t>2% </a:t>
          </a:r>
          <a:r>
            <a:rPr lang="ko-KR" altLang="en-US" sz="1100" baseline="0"/>
            <a:t>보다 많다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0</xdr:col>
      <xdr:colOff>76200</xdr:colOff>
      <xdr:row>18</xdr:row>
      <xdr:rowOff>0</xdr:rowOff>
    </xdr:from>
    <xdr:to>
      <xdr:col>4</xdr:col>
      <xdr:colOff>146050</xdr:colOff>
      <xdr:row>20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7F8AA6-9733-405F-9389-B878B22FE40A}"/>
            </a:ext>
          </a:extLst>
        </xdr:cNvPr>
        <xdr:cNvSpPr txBox="1"/>
      </xdr:nvSpPr>
      <xdr:spPr>
        <a:xfrm>
          <a:off x="76200" y="3886200"/>
          <a:ext cx="271145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(3) </a:t>
          </a:r>
          <a:r>
            <a:rPr lang="ko-KR" altLang="en-US" sz="1100" baseline="0"/>
            <a:t>모터의 평균 무게는 제조회사의 목표치인 </a:t>
          </a:r>
          <a:r>
            <a:rPr lang="en-US" altLang="ko-KR" sz="1100" baseline="0"/>
            <a:t>6kg</a:t>
          </a:r>
          <a:r>
            <a:rPr lang="ko-KR" altLang="en-US" sz="1100" baseline="0"/>
            <a:t>과 차이가 있다</a:t>
          </a:r>
          <a:endParaRPr lang="ko-KR" altLang="en-US" sz="1100"/>
        </a:p>
      </xdr:txBody>
    </xdr:sp>
    <xdr:clientData/>
  </xdr:twoCellAnchor>
  <xdr:twoCellAnchor>
    <xdr:from>
      <xdr:col>6</xdr:col>
      <xdr:colOff>654050</xdr:colOff>
      <xdr:row>11</xdr:row>
      <xdr:rowOff>0</xdr:rowOff>
    </xdr:from>
    <xdr:to>
      <xdr:col>10</xdr:col>
      <xdr:colOff>571500</xdr:colOff>
      <xdr:row>15</xdr:row>
      <xdr:rowOff>6350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803075-268B-469D-BED7-ABC4703C594F}"/>
            </a:ext>
          </a:extLst>
        </xdr:cNvPr>
        <xdr:cNvSpPr txBox="1"/>
      </xdr:nvSpPr>
      <xdr:spPr>
        <a:xfrm>
          <a:off x="5099050" y="2374900"/>
          <a:ext cx="2559050" cy="86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2. (3)</a:t>
          </a:r>
          <a:r>
            <a:rPr lang="en-US" altLang="ko-KR" sz="1100" baseline="0"/>
            <a:t> </a:t>
          </a:r>
          <a:r>
            <a:rPr lang="ko-KR" altLang="en-US" sz="1100"/>
            <a:t>결과</a:t>
          </a:r>
          <a:endParaRPr lang="en-US" altLang="ko-KR" sz="1100"/>
        </a:p>
        <a:p>
          <a:r>
            <a:rPr lang="en-US" altLang="ko-KR" sz="1100"/>
            <a:t>p-value &lt; alpha (0.012384 &lt; 0.05)</a:t>
          </a:r>
          <a:r>
            <a:rPr lang="ko-KR" altLang="en-US" sz="1100"/>
            <a:t>이므로 귀무가설 기각이다</a:t>
          </a:r>
        </a:p>
      </xdr:txBody>
    </xdr:sp>
    <xdr:clientData/>
  </xdr:twoCellAnchor>
  <xdr:twoCellAnchor>
    <xdr:from>
      <xdr:col>11</xdr:col>
      <xdr:colOff>76200</xdr:colOff>
      <xdr:row>1</xdr:row>
      <xdr:rowOff>95250</xdr:rowOff>
    </xdr:from>
    <xdr:to>
      <xdr:col>13</xdr:col>
      <xdr:colOff>336550</xdr:colOff>
      <xdr:row>5</xdr:row>
      <xdr:rowOff>82550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A3A640-034B-864D-B880-83E1551BE8C5}"/>
            </a:ext>
          </a:extLst>
        </xdr:cNvPr>
        <xdr:cNvSpPr txBox="1"/>
      </xdr:nvSpPr>
      <xdr:spPr>
        <a:xfrm>
          <a:off x="7823200" y="311150"/>
          <a:ext cx="1581150" cy="850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2. (1)</a:t>
          </a:r>
        </a:p>
        <a:p>
          <a:r>
            <a:rPr lang="ko-KR" altLang="en-US" sz="1100"/>
            <a:t>검정통계량 </a:t>
          </a:r>
          <a:r>
            <a:rPr lang="en-US" altLang="ko-KR" sz="1100"/>
            <a:t>= 2.244994</a:t>
          </a:r>
        </a:p>
        <a:p>
          <a:r>
            <a:rPr lang="ko-KR" altLang="en-US" sz="1100"/>
            <a:t>기각역</a:t>
          </a:r>
          <a:r>
            <a:rPr lang="en-US" altLang="ko-KR" sz="1100"/>
            <a:t>(Z</a:t>
          </a:r>
          <a:r>
            <a:rPr lang="en-US" altLang="ko-KR" sz="1100" baseline="0"/>
            <a:t> &gt; 1.644854)</a:t>
          </a:r>
        </a:p>
        <a:p>
          <a:endParaRPr lang="ko-KR" altLang="en-US" sz="1100"/>
        </a:p>
      </xdr:txBody>
    </xdr:sp>
    <xdr:clientData/>
  </xdr:twoCellAnchor>
  <xdr:twoCellAnchor>
    <xdr:from>
      <xdr:col>11</xdr:col>
      <xdr:colOff>88900</xdr:colOff>
      <xdr:row>7</xdr:row>
      <xdr:rowOff>38100</xdr:rowOff>
    </xdr:from>
    <xdr:to>
      <xdr:col>14</xdr:col>
      <xdr:colOff>584200</xdr:colOff>
      <xdr:row>14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3A03C7D-14C4-DE99-8D79-1D106D10AFE9}"/>
            </a:ext>
          </a:extLst>
        </xdr:cNvPr>
        <xdr:cNvSpPr txBox="1"/>
      </xdr:nvSpPr>
      <xdr:spPr>
        <a:xfrm>
          <a:off x="7835900" y="1549400"/>
          <a:ext cx="24765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2. (2)</a:t>
          </a:r>
        </a:p>
        <a:p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계산된 검정통계량 관측값(2.2450)이 기각역에 속하므로(2.2450 &gt; 1.6449), 귀무가설을 기각</a:t>
          </a:r>
          <a:r>
            <a:rPr lang="ko-KR" altLang="en-US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한다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즉, 모평균은 75보다 크다고 할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 있다</a:t>
          </a:r>
          <a:r>
            <a:rPr lang="en-US" altLang="ko-KR" sz="1100" b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100" b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ko-KR" altLang="ko-KR"/>
          </a:br>
          <a:endParaRPr lang="ko-KR" altLang="ko-KR"/>
        </a:p>
        <a:p>
          <a:endParaRPr lang="ko-KR" altLang="en-US" sz="1100"/>
        </a:p>
      </xdr:txBody>
    </xdr:sp>
    <xdr:clientData/>
  </xdr:twoCellAnchor>
  <xdr:twoCellAnchor>
    <xdr:from>
      <xdr:col>17</xdr:col>
      <xdr:colOff>654050</xdr:colOff>
      <xdr:row>21</xdr:row>
      <xdr:rowOff>146050</xdr:rowOff>
    </xdr:from>
    <xdr:to>
      <xdr:col>22</xdr:col>
      <xdr:colOff>203200</xdr:colOff>
      <xdr:row>29</xdr:row>
      <xdr:rowOff>50800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F306E51-AC84-4565-8021-F6099839E506}"/>
            </a:ext>
          </a:extLst>
        </xdr:cNvPr>
        <xdr:cNvSpPr txBox="1"/>
      </xdr:nvSpPr>
      <xdr:spPr>
        <a:xfrm>
          <a:off x="12363450" y="4679950"/>
          <a:ext cx="3130550" cy="163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3. (2)</a:t>
          </a:r>
          <a:r>
            <a:rPr lang="en-US" altLang="ko-KR" sz="1100" baseline="0"/>
            <a:t> </a:t>
          </a:r>
          <a:r>
            <a:rPr lang="ko-KR" altLang="en-US" sz="1100"/>
            <a:t>결과</a:t>
          </a:r>
          <a:endParaRPr lang="en-US" altLang="ko-KR" sz="1100"/>
        </a:p>
        <a:p>
          <a:r>
            <a:rPr lang="ko-KR" altLang="ko-KR" b="0"/>
            <a:t>계산된 검정통계량(1.0970</a:t>
          </a:r>
          <a:r>
            <a:rPr lang="en-US" altLang="ko-KR" b="0"/>
            <a:t>)</a:t>
          </a:r>
          <a:r>
            <a:rPr lang="ko-KR" altLang="ko-KR" b="0"/>
            <a:t>은 기각역에 속하지 않으며, </a:t>
          </a:r>
          <a:r>
            <a:rPr lang="en-US" altLang="ko-KR" b="0"/>
            <a:t>p-value(</a:t>
          </a:r>
          <a:r>
            <a:rPr lang="ko-KR" altLang="ko-KR" b="0"/>
            <a:t>0.2726) 또한 유의수준 </a:t>
          </a:r>
          <a:r>
            <a:rPr lang="en-US" altLang="ko-KR" b="0"/>
            <a:t>(</a:t>
          </a:r>
          <a:r>
            <a:rPr lang="ko-KR" altLang="ko-KR" b="0"/>
            <a:t>0.03)보다 훨씬 </a:t>
          </a:r>
          <a:r>
            <a:rPr lang="ko-KR" altLang="en-US" b="0"/>
            <a:t>크</a:t>
          </a:r>
          <a:r>
            <a:rPr lang="ko-KR" altLang="ko-KR" b="0"/>
            <a:t>다. 따라서 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귀무가설</a:t>
          </a:r>
          <a:r>
            <a:rPr lang="en-US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H0</a:t>
          </a:r>
          <a:r>
            <a:rPr lang="ko-KR" altLang="ko-KR" sz="1100" b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기각할 수 없다.</a:t>
          </a:r>
          <a:r>
            <a:rPr lang="ko-KR" altLang="ko-KR" b="0"/>
            <a:t> 즉, 이 도시 중학생의 평균 키는 159cm와 차이가 있다고 볼 수 없다.</a:t>
          </a:r>
          <a:endParaRPr lang="ko-KR" alt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143F-95A2-4C8C-8625-587B5E5E90DA}">
  <dimension ref="A1:U30"/>
  <sheetViews>
    <sheetView tabSelected="1" zoomScaleNormal="100" workbookViewId="0">
      <selection activeCell="H22" sqref="H22"/>
    </sheetView>
  </sheetViews>
  <sheetFormatPr defaultRowHeight="17" x14ac:dyDescent="0.45"/>
  <cols>
    <col min="3" max="3" width="15" bestFit="1" customWidth="1"/>
    <col min="19" max="19" width="12.33203125" bestFit="1" customWidth="1"/>
  </cols>
  <sheetData>
    <row r="1" spans="1:21" x14ac:dyDescent="0.45">
      <c r="H1" t="s">
        <v>24</v>
      </c>
      <c r="Q1">
        <v>163</v>
      </c>
      <c r="S1" t="s">
        <v>23</v>
      </c>
    </row>
    <row r="2" spans="1:21" x14ac:dyDescent="0.45">
      <c r="H2" t="s">
        <v>1</v>
      </c>
      <c r="I2" t="s">
        <v>3</v>
      </c>
      <c r="J2">
        <v>75</v>
      </c>
      <c r="Q2">
        <v>161</v>
      </c>
      <c r="S2" t="s">
        <v>26</v>
      </c>
      <c r="U2" s="1">
        <v>0.97</v>
      </c>
    </row>
    <row r="3" spans="1:21" x14ac:dyDescent="0.45">
      <c r="H3" t="s">
        <v>2</v>
      </c>
      <c r="I3" t="s">
        <v>4</v>
      </c>
      <c r="J3">
        <v>75</v>
      </c>
      <c r="Q3">
        <v>168</v>
      </c>
      <c r="S3" t="s">
        <v>16</v>
      </c>
      <c r="T3">
        <f>COUNT(Q1:Q30)</f>
        <v>30</v>
      </c>
    </row>
    <row r="4" spans="1:21" x14ac:dyDescent="0.45">
      <c r="H4" t="s">
        <v>16</v>
      </c>
      <c r="J4">
        <v>56</v>
      </c>
      <c r="Q4">
        <v>161</v>
      </c>
      <c r="S4" t="s">
        <v>17</v>
      </c>
      <c r="T4">
        <f>AVERAGE(Q1:Q30)</f>
        <v>160.19999999999999</v>
      </c>
    </row>
    <row r="5" spans="1:21" x14ac:dyDescent="0.45">
      <c r="H5" t="s">
        <v>17</v>
      </c>
      <c r="J5">
        <v>77.040000000000006</v>
      </c>
      <c r="Q5">
        <v>157</v>
      </c>
      <c r="S5" t="s">
        <v>18</v>
      </c>
      <c r="T5">
        <f>_xlfn.STDEV.S(Q1:Q30)</f>
        <v>5.9907975405962244</v>
      </c>
    </row>
    <row r="6" spans="1:21" x14ac:dyDescent="0.45">
      <c r="H6" t="s">
        <v>18</v>
      </c>
      <c r="J6">
        <v>6.8</v>
      </c>
      <c r="Q6">
        <v>162</v>
      </c>
      <c r="S6" t="s">
        <v>33</v>
      </c>
      <c r="T6">
        <f>T5/SQRT(T3)</f>
        <v>1.0937649834770078</v>
      </c>
    </row>
    <row r="7" spans="1:21" x14ac:dyDescent="0.45">
      <c r="A7" t="s">
        <v>0</v>
      </c>
      <c r="H7" t="s">
        <v>19</v>
      </c>
      <c r="I7">
        <v>0.05</v>
      </c>
      <c r="Q7">
        <v>153</v>
      </c>
    </row>
    <row r="8" spans="1:21" x14ac:dyDescent="0.45">
      <c r="A8" t="s">
        <v>1</v>
      </c>
      <c r="B8" t="s">
        <v>5</v>
      </c>
      <c r="H8" t="s">
        <v>22</v>
      </c>
      <c r="J8">
        <f>(J5-J2)/(J6/SQRT(J4))</f>
        <v>2.2449944320643715</v>
      </c>
      <c r="Q8">
        <v>159</v>
      </c>
      <c r="S8" t="s">
        <v>31</v>
      </c>
    </row>
    <row r="9" spans="1:21" x14ac:dyDescent="0.45">
      <c r="A9" t="s">
        <v>2</v>
      </c>
      <c r="B9" t="s">
        <v>6</v>
      </c>
      <c r="C9" t="s">
        <v>13</v>
      </c>
      <c r="H9" t="s">
        <v>20</v>
      </c>
      <c r="J9">
        <f>_xlfn.NORM.S.INV(0.95)</f>
        <v>1.6448536269514715</v>
      </c>
      <c r="Q9">
        <v>164</v>
      </c>
      <c r="S9" t="s">
        <v>28</v>
      </c>
    </row>
    <row r="10" spans="1:21" x14ac:dyDescent="0.45">
      <c r="H10" t="s">
        <v>21</v>
      </c>
      <c r="J10">
        <f>1-_xlfn.NORM.S.DIST(J8,1)</f>
        <v>1.2384245004659289E-2</v>
      </c>
      <c r="Q10">
        <v>170</v>
      </c>
      <c r="S10" t="s">
        <v>29</v>
      </c>
      <c r="T10" t="s">
        <v>30</v>
      </c>
    </row>
    <row r="11" spans="1:21" x14ac:dyDescent="0.45">
      <c r="Q11">
        <v>152</v>
      </c>
      <c r="S11">
        <f>T4-T19*T6</f>
        <v>157.82643113401761</v>
      </c>
      <c r="T11">
        <f>T4+T19*T6</f>
        <v>162.57356886598237</v>
      </c>
    </row>
    <row r="12" spans="1:21" x14ac:dyDescent="0.45">
      <c r="Q12">
        <v>160</v>
      </c>
    </row>
    <row r="13" spans="1:21" x14ac:dyDescent="0.45">
      <c r="Q13">
        <v>157</v>
      </c>
      <c r="S13" t="s">
        <v>32</v>
      </c>
    </row>
    <row r="14" spans="1:21" x14ac:dyDescent="0.45">
      <c r="A14" t="s">
        <v>7</v>
      </c>
      <c r="Q14">
        <v>168</v>
      </c>
      <c r="S14" t="s">
        <v>1</v>
      </c>
      <c r="T14" t="s">
        <v>3</v>
      </c>
      <c r="U14">
        <v>159</v>
      </c>
    </row>
    <row r="15" spans="1:21" x14ac:dyDescent="0.45">
      <c r="A15" t="s">
        <v>1</v>
      </c>
      <c r="B15" t="s">
        <v>8</v>
      </c>
      <c r="Q15">
        <v>150</v>
      </c>
      <c r="S15" t="s">
        <v>2</v>
      </c>
      <c r="T15" t="s">
        <v>25</v>
      </c>
      <c r="U15">
        <v>159</v>
      </c>
    </row>
    <row r="16" spans="1:21" x14ac:dyDescent="0.45">
      <c r="A16" t="s">
        <v>2</v>
      </c>
      <c r="B16" t="s">
        <v>9</v>
      </c>
      <c r="C16" t="s">
        <v>14</v>
      </c>
      <c r="Q16">
        <v>165</v>
      </c>
      <c r="S16" t="s">
        <v>19</v>
      </c>
      <c r="T16">
        <v>0.03</v>
      </c>
    </row>
    <row r="17" spans="1:20" x14ac:dyDescent="0.45">
      <c r="Q17">
        <v>156</v>
      </c>
    </row>
    <row r="18" spans="1:20" x14ac:dyDescent="0.45">
      <c r="Q18">
        <v>151</v>
      </c>
      <c r="S18" t="s">
        <v>22</v>
      </c>
      <c r="T18">
        <f>(T4-159)/(T5/SQRT(T3))</f>
        <v>1.097127827392377</v>
      </c>
    </row>
    <row r="19" spans="1:20" x14ac:dyDescent="0.45">
      <c r="Q19">
        <v>162</v>
      </c>
      <c r="S19" t="s">
        <v>27</v>
      </c>
      <c r="T19">
        <f>_xlfn.NORM.S.INV(0.985)</f>
        <v>2.1700903775845601</v>
      </c>
    </row>
    <row r="20" spans="1:20" x14ac:dyDescent="0.45">
      <c r="Q20">
        <v>150</v>
      </c>
      <c r="S20" t="s">
        <v>21</v>
      </c>
      <c r="T20">
        <f>2*(1-_xlfn.NORM.S.DIST(T18, 1))</f>
        <v>0.27258551722126834</v>
      </c>
    </row>
    <row r="21" spans="1:20" x14ac:dyDescent="0.45">
      <c r="Q21">
        <v>156</v>
      </c>
    </row>
    <row r="22" spans="1:20" x14ac:dyDescent="0.45">
      <c r="A22" t="s">
        <v>10</v>
      </c>
      <c r="Q22">
        <v>152</v>
      </c>
    </row>
    <row r="23" spans="1:20" x14ac:dyDescent="0.45">
      <c r="A23" t="s">
        <v>1</v>
      </c>
      <c r="B23" t="s">
        <v>11</v>
      </c>
      <c r="Q23">
        <v>161</v>
      </c>
    </row>
    <row r="24" spans="1:20" x14ac:dyDescent="0.45">
      <c r="A24" t="s">
        <v>2</v>
      </c>
      <c r="B24" t="s">
        <v>12</v>
      </c>
      <c r="C24" t="s">
        <v>15</v>
      </c>
      <c r="Q24">
        <v>165</v>
      </c>
    </row>
    <row r="25" spans="1:20" x14ac:dyDescent="0.45">
      <c r="Q25">
        <v>168</v>
      </c>
    </row>
    <row r="26" spans="1:20" x14ac:dyDescent="0.45">
      <c r="Q26">
        <v>167</v>
      </c>
    </row>
    <row r="27" spans="1:20" x14ac:dyDescent="0.45">
      <c r="Q27">
        <v>165</v>
      </c>
    </row>
    <row r="28" spans="1:20" x14ac:dyDescent="0.45">
      <c r="Q28">
        <v>168</v>
      </c>
    </row>
    <row r="29" spans="1:20" x14ac:dyDescent="0.45">
      <c r="Q29">
        <v>159</v>
      </c>
    </row>
    <row r="30" spans="1:20" x14ac:dyDescent="0.45">
      <c r="Q30">
        <v>156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2026-05-23T17:11:04Z</dcterms:created>
  <dcterms:modified xsi:type="dcterms:W3CDTF">2026-05-23T18:30:20Z</dcterms:modified>
</cp:coreProperties>
</file>