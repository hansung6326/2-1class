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1주차\"/>
    </mc:Choice>
  </mc:AlternateContent>
  <xr:revisionPtr revIDLastSave="0" documentId="13_ncr:1_{33729B9A-D568-4110-9A8B-F9F3647C9017}" xr6:coauthVersionLast="47" xr6:coauthVersionMax="47" xr10:uidLastSave="{00000000-0000-0000-0000-000000000000}"/>
  <bookViews>
    <workbookView xWindow="-110" yWindow="-110" windowWidth="25820" windowHeight="15500" xr2:uid="{2AB4B56C-2F45-4978-8DEC-C2528540F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C22" i="1"/>
  <c r="C21" i="1"/>
  <c r="C10" i="1"/>
  <c r="C9" i="1"/>
  <c r="C8" i="1"/>
</calcChain>
</file>

<file path=xl/sharedStrings.xml><?xml version="1.0" encoding="utf-8"?>
<sst xmlns="http://schemas.openxmlformats.org/spreadsheetml/2006/main" count="24" uniqueCount="13">
  <si>
    <t>가설</t>
    <phoneticPr fontId="1" type="noConversion"/>
  </si>
  <si>
    <t>H0</t>
    <phoneticPr fontId="1" type="noConversion"/>
  </si>
  <si>
    <t>H1</t>
    <phoneticPr fontId="1" type="noConversion"/>
  </si>
  <si>
    <t>mu&gt;</t>
    <phoneticPr fontId="1" type="noConversion"/>
  </si>
  <si>
    <t>mu=</t>
    <phoneticPr fontId="1" type="noConversion"/>
  </si>
  <si>
    <t>n</t>
    <phoneticPr fontId="1" type="noConversion"/>
  </si>
  <si>
    <t>xbar</t>
    <phoneticPr fontId="1" type="noConversion"/>
  </si>
  <si>
    <t>s</t>
    <phoneticPr fontId="1" type="noConversion"/>
  </si>
  <si>
    <t>alpha</t>
    <phoneticPr fontId="1" type="noConversion"/>
  </si>
  <si>
    <t>z(0.05)</t>
    <phoneticPr fontId="1" type="noConversion"/>
  </si>
  <si>
    <t>p-value</t>
    <phoneticPr fontId="1" type="noConversion"/>
  </si>
  <si>
    <t>not 1.2</t>
    <phoneticPr fontId="1" type="noConversion"/>
  </si>
  <si>
    <t>z(0.025)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</si>
</sst>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13</xdr:row>
      <xdr:rowOff>19940</xdr:rowOff>
    </xdr:from>
    <xdr:to>
      <xdr:col>11</xdr:col>
      <xdr:colOff>158750</xdr:colOff>
      <xdr:row>27</xdr:row>
      <xdr:rowOff>213399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4A779A4-2226-10E6-6D56-C288AD4FA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5900" y="2826640"/>
          <a:ext cx="4667250" cy="3216059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501650</xdr:colOff>
      <xdr:row>0</xdr:row>
      <xdr:rowOff>86413</xdr:rowOff>
    </xdr:from>
    <xdr:to>
      <xdr:col>10</xdr:col>
      <xdr:colOff>214589</xdr:colOff>
      <xdr:row>11</xdr:row>
      <xdr:rowOff>44451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3B1711F-62F1-9AD4-83C7-2CD030DFF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0" y="86413"/>
          <a:ext cx="3675339" cy="2332938"/>
        </a:xfrm>
        <a:prstGeom prst="rect">
          <a:avLst/>
        </a:prstGeom>
      </xdr:spPr>
    </xdr:pic>
    <xdr:clientData/>
  </xdr:twoCellAnchor>
  <xdr:twoCellAnchor>
    <xdr:from>
      <xdr:col>0</xdr:col>
      <xdr:colOff>101600</xdr:colOff>
      <xdr:row>10</xdr:row>
      <xdr:rowOff>158750</xdr:rowOff>
    </xdr:from>
    <xdr:to>
      <xdr:col>4</xdr:col>
      <xdr:colOff>19050</xdr:colOff>
      <xdr:row>13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3032D5-4533-03AD-A0DD-4E785A76F1B3}"/>
            </a:ext>
          </a:extLst>
        </xdr:cNvPr>
        <xdr:cNvSpPr txBox="1"/>
      </xdr:nvSpPr>
      <xdr:spPr>
        <a:xfrm>
          <a:off x="101600" y="2317750"/>
          <a:ext cx="2559050" cy="57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단측검정이면 </a:t>
          </a:r>
          <a:r>
            <a:rPr lang="en-US" altLang="ko-KR" sz="1100"/>
            <a:t>1-norm.s.dist()</a:t>
          </a:r>
          <a:endParaRPr lang="ko-KR" altLang="en-US" sz="1100"/>
        </a:p>
      </xdr:txBody>
    </xdr:sp>
    <xdr:clientData/>
  </xdr:twoCellAnchor>
  <xdr:twoCellAnchor>
    <xdr:from>
      <xdr:col>0</xdr:col>
      <xdr:colOff>12700</xdr:colOff>
      <xdr:row>23</xdr:row>
      <xdr:rowOff>31750</xdr:rowOff>
    </xdr:from>
    <xdr:to>
      <xdr:col>3</xdr:col>
      <xdr:colOff>590550</xdr:colOff>
      <xdr:row>25</xdr:row>
      <xdr:rowOff>177800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B38668-725A-4E73-BCBF-34C1C49F211F}"/>
            </a:ext>
          </a:extLst>
        </xdr:cNvPr>
        <xdr:cNvSpPr txBox="1"/>
      </xdr:nvSpPr>
      <xdr:spPr>
        <a:xfrm>
          <a:off x="12700" y="4997450"/>
          <a:ext cx="2559050" cy="57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양측검정이면 </a:t>
          </a:r>
          <a:r>
            <a:rPr lang="en-US" altLang="ko-KR" sz="1100"/>
            <a:t>2 * (1-norm.s.dist())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654B-526B-4FC0-ADC0-8F1A86B607EF}">
  <dimension ref="A1:C23"/>
  <sheetViews>
    <sheetView tabSelected="1" workbookViewId="0">
      <selection activeCell="C21" sqref="C21"/>
    </sheetView>
  </sheetViews>
  <sheetFormatPr defaultRowHeight="17" x14ac:dyDescent="0.45"/>
  <sheetData>
    <row r="1" spans="1:3" x14ac:dyDescent="0.45">
      <c r="A1" t="s">
        <v>0</v>
      </c>
    </row>
    <row r="2" spans="1:3" x14ac:dyDescent="0.45">
      <c r="A2" t="s">
        <v>1</v>
      </c>
      <c r="B2" t="s">
        <v>4</v>
      </c>
      <c r="C2">
        <v>10</v>
      </c>
    </row>
    <row r="3" spans="1:3" x14ac:dyDescent="0.45">
      <c r="A3" t="s">
        <v>2</v>
      </c>
      <c r="B3" t="s">
        <v>3</v>
      </c>
      <c r="C3">
        <v>10</v>
      </c>
    </row>
    <row r="4" spans="1:3" x14ac:dyDescent="0.45">
      <c r="A4" t="s">
        <v>5</v>
      </c>
      <c r="C4">
        <v>56</v>
      </c>
    </row>
    <row r="5" spans="1:3" x14ac:dyDescent="0.45">
      <c r="A5" t="s">
        <v>6</v>
      </c>
      <c r="C5">
        <v>10.5</v>
      </c>
    </row>
    <row r="6" spans="1:3" x14ac:dyDescent="0.45">
      <c r="A6" t="s">
        <v>7</v>
      </c>
      <c r="C6">
        <v>4.5</v>
      </c>
    </row>
    <row r="7" spans="1:3" x14ac:dyDescent="0.45">
      <c r="A7" t="s">
        <v>8</v>
      </c>
      <c r="B7">
        <v>0.05</v>
      </c>
    </row>
    <row r="8" spans="1:3" x14ac:dyDescent="0.45">
      <c r="A8" t="s">
        <v>9</v>
      </c>
      <c r="C8">
        <f>_xlfn.NORM.S.INV(0.95)</f>
        <v>1.6448536269514715</v>
      </c>
    </row>
    <row r="9" spans="1:3" x14ac:dyDescent="0.45">
      <c r="A9" t="s">
        <v>9</v>
      </c>
      <c r="C9">
        <f>(C5-C2)/(C6/SQRT(C4))</f>
        <v>0.8314794192830981</v>
      </c>
    </row>
    <row r="10" spans="1:3" x14ac:dyDescent="0.45">
      <c r="A10" t="s">
        <v>10</v>
      </c>
      <c r="C10">
        <f>1-_xlfn.NORM.S.DIST(C9,1)</f>
        <v>0.2028514249796306</v>
      </c>
    </row>
    <row r="15" spans="1:3" x14ac:dyDescent="0.45">
      <c r="A15" t="s">
        <v>1</v>
      </c>
      <c r="B15" t="s">
        <v>4</v>
      </c>
      <c r="C15">
        <v>1.2</v>
      </c>
    </row>
    <row r="16" spans="1:3" x14ac:dyDescent="0.45">
      <c r="A16" t="s">
        <v>2</v>
      </c>
      <c r="B16" t="s">
        <v>3</v>
      </c>
      <c r="C16" t="s">
        <v>11</v>
      </c>
    </row>
    <row r="17" spans="1:3" x14ac:dyDescent="0.45">
      <c r="A17" t="s">
        <v>5</v>
      </c>
      <c r="C17">
        <v>36</v>
      </c>
    </row>
    <row r="18" spans="1:3" x14ac:dyDescent="0.45">
      <c r="A18" t="s">
        <v>6</v>
      </c>
      <c r="C18">
        <v>1.22</v>
      </c>
    </row>
    <row r="19" spans="1:3" x14ac:dyDescent="0.45">
      <c r="A19" t="s">
        <v>7</v>
      </c>
      <c r="C19">
        <v>0.16</v>
      </c>
    </row>
    <row r="20" spans="1:3" x14ac:dyDescent="0.45">
      <c r="A20" t="s">
        <v>8</v>
      </c>
      <c r="C20">
        <v>0.05</v>
      </c>
    </row>
    <row r="21" spans="1:3" x14ac:dyDescent="0.45">
      <c r="A21" t="s">
        <v>12</v>
      </c>
      <c r="C21">
        <f>_xlfn.NORM.S.INV(0.975)</f>
        <v>1.9599639845400536</v>
      </c>
    </row>
    <row r="22" spans="1:3" x14ac:dyDescent="0.45">
      <c r="A22" t="s">
        <v>9</v>
      </c>
      <c r="C22">
        <f>(C18-C15)/(C19/SQRT(C17))</f>
        <v>0.75000000000000067</v>
      </c>
    </row>
    <row r="23" spans="1:3" x14ac:dyDescent="0.45">
      <c r="A23" t="s">
        <v>10</v>
      </c>
      <c r="C23">
        <f>2*(1-_xlfn.NORM.S.DIST(C22,1))</f>
        <v>0.45325470475373608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2026-05-18T06:38:26Z</dcterms:created>
  <dcterms:modified xsi:type="dcterms:W3CDTF">2026-05-18T07:17:45Z</dcterms:modified>
</cp:coreProperties>
</file>