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2026_class\확률및통계\6주차\"/>
    </mc:Choice>
  </mc:AlternateContent>
  <xr:revisionPtr revIDLastSave="0" documentId="13_ncr:1_{973F85F9-9551-4D8A-AD26-E646451135B7}" xr6:coauthVersionLast="47" xr6:coauthVersionMax="47" xr10:uidLastSave="{00000000-0000-0000-0000-000000000000}"/>
  <bookViews>
    <workbookView xWindow="-110" yWindow="-110" windowWidth="25820" windowHeight="15500" xr2:uid="{83249CF7-4BA5-47F6-A28C-8667625AB1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2" i="1" l="1"/>
  <c r="C34" i="1"/>
  <c r="C33" i="1"/>
  <c r="C31" i="1"/>
  <c r="E28" i="1"/>
  <c r="E27" i="1"/>
  <c r="G25" i="1"/>
  <c r="G15" i="1"/>
  <c r="G16" i="1"/>
  <c r="G17" i="1"/>
  <c r="G18" i="1"/>
  <c r="G19" i="1"/>
  <c r="G20" i="1"/>
  <c r="G21" i="1"/>
  <c r="G22" i="1"/>
  <c r="G23" i="1"/>
  <c r="G24" i="1"/>
  <c r="G14" i="1"/>
  <c r="F25" i="1"/>
  <c r="F15" i="1"/>
  <c r="F16" i="1"/>
  <c r="F17" i="1"/>
  <c r="F18" i="1"/>
  <c r="F19" i="1"/>
  <c r="F20" i="1"/>
  <c r="F21" i="1"/>
  <c r="F22" i="1"/>
  <c r="F23" i="1"/>
  <c r="F24" i="1"/>
  <c r="F14" i="1"/>
  <c r="E25" i="1"/>
  <c r="E15" i="1"/>
  <c r="E16" i="1"/>
  <c r="E17" i="1"/>
  <c r="E18" i="1"/>
  <c r="E19" i="1"/>
  <c r="E20" i="1"/>
  <c r="E21" i="1"/>
  <c r="E22" i="1"/>
  <c r="E23" i="1"/>
  <c r="E24" i="1"/>
  <c r="E14" i="1"/>
  <c r="E6" i="1"/>
  <c r="E7" i="1"/>
  <c r="E5" i="1"/>
  <c r="D8" i="1"/>
  <c r="D6" i="1"/>
  <c r="D7" i="1"/>
  <c r="D5" i="1"/>
  <c r="C7" i="1"/>
  <c r="C6" i="1"/>
  <c r="C5" i="1"/>
</calcChain>
</file>

<file path=xl/sharedStrings.xml><?xml version="1.0" encoding="utf-8"?>
<sst xmlns="http://schemas.openxmlformats.org/spreadsheetml/2006/main" count="23" uniqueCount="21">
  <si>
    <t>corr(X,Y)</t>
    <phoneticPr fontId="1" type="noConversion"/>
  </si>
  <si>
    <t>y</t>
    <phoneticPr fontId="1" type="noConversion"/>
  </si>
  <si>
    <t>f(y)</t>
    <phoneticPr fontId="1" type="noConversion"/>
  </si>
  <si>
    <t>x*f(x)</t>
    <phoneticPr fontId="1" type="noConversion"/>
  </si>
  <si>
    <t>SUM</t>
    <phoneticPr fontId="1" type="noConversion"/>
  </si>
  <si>
    <t>(X-E(x))^2*f(X)</t>
    <phoneticPr fontId="1" type="noConversion"/>
  </si>
  <si>
    <t>n</t>
    <phoneticPr fontId="1" type="noConversion"/>
  </si>
  <si>
    <t>p</t>
    <phoneticPr fontId="1" type="noConversion"/>
  </si>
  <si>
    <t>x</t>
    <phoneticPr fontId="1" type="noConversion"/>
  </si>
  <si>
    <t>f(x)</t>
    <phoneticPr fontId="1" type="noConversion"/>
  </si>
  <si>
    <t>sum</t>
    <phoneticPr fontId="1" type="noConversion"/>
  </si>
  <si>
    <t>(x-E(x))^2*f(x)</t>
    <phoneticPr fontId="1" type="noConversion"/>
  </si>
  <si>
    <t>E(X)</t>
    <phoneticPr fontId="1" type="noConversion"/>
  </si>
  <si>
    <t>Var(X)</t>
    <phoneticPr fontId="1" type="noConversion"/>
  </si>
  <si>
    <t>np</t>
    <phoneticPr fontId="1" type="noConversion"/>
  </si>
  <si>
    <t>np(1-p)</t>
    <phoneticPr fontId="1" type="noConversion"/>
  </si>
  <si>
    <t>P</t>
    <phoneticPr fontId="1" type="noConversion"/>
  </si>
  <si>
    <t>P(X&lt;=6)</t>
    <phoneticPr fontId="1" type="noConversion"/>
  </si>
  <si>
    <t>P(6&lt;=X&lt;10)</t>
    <phoneticPr fontId="1" type="noConversion"/>
  </si>
  <si>
    <t>P(X&lt;=10)</t>
    <phoneticPr fontId="1" type="noConversion"/>
  </si>
  <si>
    <t>P(X&lt;=5)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</si>
</sst>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Lit>
              <c:formatCode>General</c:formatCode>
              <c:ptCount val="11"/>
              <c:pt idx="0">
                <c:v>0</c:v>
              </c:pt>
              <c:pt idx="1">
                <c:v>1</c:v>
              </c:pt>
              <c:pt idx="2">
                <c:v>2</c:v>
              </c:pt>
              <c:pt idx="3">
                <c:v>3</c:v>
              </c:pt>
              <c:pt idx="4">
                <c:v>4</c:v>
              </c:pt>
              <c:pt idx="5">
                <c:v>5</c:v>
              </c:pt>
              <c:pt idx="6">
                <c:v>6</c:v>
              </c:pt>
              <c:pt idx="7">
                <c:v>7</c:v>
              </c:pt>
              <c:pt idx="8">
                <c:v>8</c:v>
              </c:pt>
              <c:pt idx="9">
                <c:v>9</c:v>
              </c:pt>
              <c:pt idx="10">
                <c:v>10</c:v>
              </c:pt>
            </c:numLit>
          </c:cat>
          <c:val>
            <c:numRef>
              <c:f>Sheet1!$E$14:$E$24</c:f>
              <c:numCache>
                <c:formatCode>General</c:formatCode>
                <c:ptCount val="11"/>
                <c:pt idx="0">
                  <c:v>0.5987369392383789</c:v>
                </c:pt>
                <c:pt idx="1">
                  <c:v>0.31512470486230471</c:v>
                </c:pt>
                <c:pt idx="2">
                  <c:v>7.4634798520019557E-2</c:v>
                </c:pt>
                <c:pt idx="3">
                  <c:v>1.0475059441406248E-2</c:v>
                </c:pt>
                <c:pt idx="4">
                  <c:v>9.6480810644531312E-4</c:v>
                </c:pt>
                <c:pt idx="5">
                  <c:v>6.0935248828124926E-5</c:v>
                </c:pt>
                <c:pt idx="6">
                  <c:v>2.6725986328124979E-6</c:v>
                </c:pt>
                <c:pt idx="7">
                  <c:v>8.0378906250000105E-8</c:v>
                </c:pt>
                <c:pt idx="8">
                  <c:v>1.5864257812500044E-9</c:v>
                </c:pt>
                <c:pt idx="9">
                  <c:v>1.8554687500000024E-11</c:v>
                </c:pt>
                <c:pt idx="10">
                  <c:v>9.7656250000000218E-14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EA2-4AA9-B03F-6AA1A6B18A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27156096"/>
        <c:axId val="927143616"/>
      </c:barChart>
      <c:catAx>
        <c:axId val="9271560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927143616"/>
        <c:crosses val="autoZero"/>
        <c:auto val="1"/>
        <c:lblAlgn val="ctr"/>
        <c:lblOffset val="100"/>
        <c:noMultiLvlLbl val="0"/>
      </c:catAx>
      <c:valAx>
        <c:axId val="9271436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9271560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434975</xdr:colOff>
      <xdr:row>6</xdr:row>
      <xdr:rowOff>203200</xdr:rowOff>
    </xdr:from>
    <xdr:to>
      <xdr:col>16</xdr:col>
      <xdr:colOff>384175</xdr:colOff>
      <xdr:row>19</xdr:row>
      <xdr:rowOff>139700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E718171E-2C0B-6D90-CCC2-8FBC95A7A4E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82B291-14D5-42EF-9828-AA7C5C7556DD}">
  <dimension ref="A2:G34"/>
  <sheetViews>
    <sheetView tabSelected="1" topLeftCell="A6" workbookViewId="0">
      <selection activeCell="K24" sqref="K24"/>
    </sheetView>
  </sheetViews>
  <sheetFormatPr defaultRowHeight="17" x14ac:dyDescent="0.45"/>
  <cols>
    <col min="2" max="2" width="11.33203125" bestFit="1" customWidth="1"/>
    <col min="5" max="5" width="13.1640625" bestFit="1" customWidth="1"/>
    <col min="7" max="7" width="12.58203125" bestFit="1" customWidth="1"/>
  </cols>
  <sheetData>
    <row r="2" spans="1:7" x14ac:dyDescent="0.45">
      <c r="A2" t="s">
        <v>0</v>
      </c>
    </row>
    <row r="4" spans="1:7" x14ac:dyDescent="0.45">
      <c r="B4" t="s">
        <v>1</v>
      </c>
      <c r="C4" t="s">
        <v>2</v>
      </c>
      <c r="D4" t="s">
        <v>3</v>
      </c>
      <c r="E4" t="s">
        <v>5</v>
      </c>
    </row>
    <row r="5" spans="1:7" x14ac:dyDescent="0.45">
      <c r="B5">
        <v>0</v>
      </c>
      <c r="C5">
        <f xml:space="preserve"> 1/4</f>
        <v>0.25</v>
      </c>
      <c r="D5">
        <f>B5*C5</f>
        <v>0</v>
      </c>
      <c r="E5">
        <f>(B5-$D$8)^2*C5</f>
        <v>0.25</v>
      </c>
    </row>
    <row r="6" spans="1:7" x14ac:dyDescent="0.45">
      <c r="B6">
        <v>1</v>
      </c>
      <c r="C6">
        <f>0.5</f>
        <v>0.5</v>
      </c>
      <c r="D6">
        <f t="shared" ref="D6:D7" si="0">B6*C6</f>
        <v>0.5</v>
      </c>
      <c r="E6">
        <f t="shared" ref="E6:E7" si="1">(B6-$D$8)^2*C6</f>
        <v>0</v>
      </c>
    </row>
    <row r="7" spans="1:7" x14ac:dyDescent="0.45">
      <c r="B7">
        <v>2</v>
      </c>
      <c r="C7">
        <f>1/4</f>
        <v>0.25</v>
      </c>
      <c r="D7">
        <f t="shared" si="0"/>
        <v>0.5</v>
      </c>
      <c r="E7">
        <f t="shared" si="1"/>
        <v>0.25</v>
      </c>
    </row>
    <row r="8" spans="1:7" x14ac:dyDescent="0.45">
      <c r="C8" t="s">
        <v>4</v>
      </c>
      <c r="D8">
        <f>SUM(D5:D7)</f>
        <v>1</v>
      </c>
    </row>
    <row r="10" spans="1:7" x14ac:dyDescent="0.45">
      <c r="C10" t="s">
        <v>6</v>
      </c>
      <c r="D10">
        <v>10</v>
      </c>
    </row>
    <row r="11" spans="1:7" x14ac:dyDescent="0.45">
      <c r="C11" t="s">
        <v>7</v>
      </c>
      <c r="D11">
        <v>0.05</v>
      </c>
    </row>
    <row r="13" spans="1:7" x14ac:dyDescent="0.45">
      <c r="D13" t="s">
        <v>8</v>
      </c>
      <c r="E13" t="s">
        <v>9</v>
      </c>
      <c r="F13" t="s">
        <v>3</v>
      </c>
      <c r="G13" t="s">
        <v>11</v>
      </c>
    </row>
    <row r="14" spans="1:7" x14ac:dyDescent="0.45">
      <c r="D14">
        <v>0</v>
      </c>
      <c r="E14">
        <f>_xlfn.BINOM.DIST(D14,$D$10,$D$11,FALSE)</f>
        <v>0.5987369392383789</v>
      </c>
      <c r="F14">
        <f>D14*E14</f>
        <v>0</v>
      </c>
      <c r="G14">
        <f>(D14-$F$25)^2*E14</f>
        <v>0.14968423480959478</v>
      </c>
    </row>
    <row r="15" spans="1:7" x14ac:dyDescent="0.45">
      <c r="D15">
        <v>1</v>
      </c>
      <c r="E15">
        <f t="shared" ref="E15:E24" si="2">_xlfn.BINOM.DIST(D15,$D$10,$D$11,FALSE)</f>
        <v>0.31512470486230471</v>
      </c>
      <c r="F15">
        <f t="shared" ref="F15:F24" si="3">D15*E15</f>
        <v>0.31512470486230471</v>
      </c>
      <c r="G15">
        <f t="shared" ref="G15:G24" si="4">(D15-$F$25)^2*E15</f>
        <v>7.8781176215576135E-2</v>
      </c>
    </row>
    <row r="16" spans="1:7" x14ac:dyDescent="0.45">
      <c r="D16">
        <v>2</v>
      </c>
      <c r="E16">
        <f t="shared" si="2"/>
        <v>7.4634798520019557E-2</v>
      </c>
      <c r="F16">
        <f t="shared" si="3"/>
        <v>0.14926959704003911</v>
      </c>
      <c r="G16">
        <f t="shared" si="4"/>
        <v>0.167928296670044</v>
      </c>
    </row>
    <row r="17" spans="2:7" x14ac:dyDescent="0.45">
      <c r="D17">
        <v>3</v>
      </c>
      <c r="E17">
        <f t="shared" si="2"/>
        <v>1.0475059441406248E-2</v>
      </c>
      <c r="F17">
        <f t="shared" si="3"/>
        <v>3.1425178324218747E-2</v>
      </c>
      <c r="G17">
        <f t="shared" si="4"/>
        <v>6.5469121508789058E-2</v>
      </c>
    </row>
    <row r="18" spans="2:7" x14ac:dyDescent="0.45">
      <c r="D18">
        <v>4</v>
      </c>
      <c r="E18">
        <f t="shared" si="2"/>
        <v>9.6480810644531312E-4</v>
      </c>
      <c r="F18">
        <f t="shared" si="3"/>
        <v>3.8592324257812525E-3</v>
      </c>
      <c r="G18">
        <f t="shared" si="4"/>
        <v>1.1818899303955086E-2</v>
      </c>
    </row>
    <row r="19" spans="2:7" x14ac:dyDescent="0.45">
      <c r="D19">
        <v>5</v>
      </c>
      <c r="E19">
        <f t="shared" si="2"/>
        <v>6.0935248828124926E-5</v>
      </c>
      <c r="F19">
        <f t="shared" si="3"/>
        <v>3.0467624414062464E-4</v>
      </c>
      <c r="G19">
        <f t="shared" si="4"/>
        <v>1.2339387887695297E-3</v>
      </c>
    </row>
    <row r="20" spans="2:7" x14ac:dyDescent="0.45">
      <c r="D20">
        <v>6</v>
      </c>
      <c r="E20">
        <f t="shared" si="2"/>
        <v>2.6725986328124979E-6</v>
      </c>
      <c r="F20">
        <f t="shared" si="3"/>
        <v>1.6035591796874988E-5</v>
      </c>
      <c r="G20">
        <f t="shared" si="4"/>
        <v>8.0846108642578066E-5</v>
      </c>
    </row>
    <row r="21" spans="2:7" x14ac:dyDescent="0.45">
      <c r="D21">
        <v>7</v>
      </c>
      <c r="E21">
        <f t="shared" si="2"/>
        <v>8.0378906250000105E-8</v>
      </c>
      <c r="F21">
        <f t="shared" si="3"/>
        <v>5.6265234375000072E-7</v>
      </c>
      <c r="G21">
        <f t="shared" si="4"/>
        <v>3.3960087890625044E-6</v>
      </c>
    </row>
    <row r="22" spans="2:7" x14ac:dyDescent="0.45">
      <c r="D22">
        <v>8</v>
      </c>
      <c r="E22">
        <f t="shared" si="2"/>
        <v>1.5864257812500044E-9</v>
      </c>
      <c r="F22">
        <f t="shared" si="3"/>
        <v>1.2691406250000035E-8</v>
      </c>
      <c r="G22">
        <f t="shared" si="4"/>
        <v>8.9236450195312745E-8</v>
      </c>
    </row>
    <row r="23" spans="2:7" x14ac:dyDescent="0.45">
      <c r="D23">
        <v>9</v>
      </c>
      <c r="E23">
        <f t="shared" si="2"/>
        <v>1.8554687500000024E-11</v>
      </c>
      <c r="F23">
        <f t="shared" si="3"/>
        <v>1.6699218750000022E-10</v>
      </c>
      <c r="G23">
        <f t="shared" si="4"/>
        <v>1.3405761718750018E-9</v>
      </c>
    </row>
    <row r="24" spans="2:7" x14ac:dyDescent="0.45">
      <c r="D24">
        <v>10</v>
      </c>
      <c r="E24">
        <f t="shared" si="2"/>
        <v>9.7656250000000218E-14</v>
      </c>
      <c r="F24">
        <f t="shared" si="3"/>
        <v>9.7656250000000228E-13</v>
      </c>
      <c r="G24">
        <f t="shared" si="4"/>
        <v>8.8134765625000191E-12</v>
      </c>
    </row>
    <row r="25" spans="2:7" x14ac:dyDescent="0.45">
      <c r="D25" t="s">
        <v>10</v>
      </c>
      <c r="E25">
        <f>SUM(E14:E24)</f>
        <v>1</v>
      </c>
      <c r="F25">
        <f>SUM(F14:F24)</f>
        <v>0.50000000000000011</v>
      </c>
      <c r="G25">
        <f>SUM(G14:G24)</f>
        <v>0.47500000000000003</v>
      </c>
    </row>
    <row r="26" spans="2:7" x14ac:dyDescent="0.45">
      <c r="F26" t="s">
        <v>12</v>
      </c>
      <c r="G26" t="s">
        <v>13</v>
      </c>
    </row>
    <row r="27" spans="2:7" x14ac:dyDescent="0.45">
      <c r="D27" t="s">
        <v>14</v>
      </c>
      <c r="E27">
        <f>D10*D11</f>
        <v>0.5</v>
      </c>
    </row>
    <row r="28" spans="2:7" x14ac:dyDescent="0.45">
      <c r="D28" t="s">
        <v>15</v>
      </c>
      <c r="E28">
        <f>D10*D11*(1-D11)</f>
        <v>0.47499999999999998</v>
      </c>
    </row>
    <row r="29" spans="2:7" x14ac:dyDescent="0.45">
      <c r="B29" t="s">
        <v>6</v>
      </c>
      <c r="C29">
        <v>15</v>
      </c>
    </row>
    <row r="30" spans="2:7" x14ac:dyDescent="0.45">
      <c r="B30" t="s">
        <v>16</v>
      </c>
      <c r="C30">
        <v>0.5</v>
      </c>
    </row>
    <row r="31" spans="2:7" x14ac:dyDescent="0.45">
      <c r="B31" t="s">
        <v>17</v>
      </c>
      <c r="C31">
        <f>_xlfn.BINOM.DIST(6,C29,C30,1)</f>
        <v>0.30361938476562511</v>
      </c>
    </row>
    <row r="32" spans="2:7" x14ac:dyDescent="0.45">
      <c r="B32" t="s">
        <v>18</v>
      </c>
      <c r="C32">
        <f>C33-C34</f>
        <v>0.789886474609375</v>
      </c>
    </row>
    <row r="33" spans="2:3" x14ac:dyDescent="0.45">
      <c r="B33" t="s">
        <v>19</v>
      </c>
      <c r="C33">
        <f>_xlfn.BINOM.DIST(10,C29,C30,1)</f>
        <v>0.940765380859375</v>
      </c>
    </row>
    <row r="34" spans="2:3" x14ac:dyDescent="0.45">
      <c r="B34" t="s">
        <v>20</v>
      </c>
      <c r="C34">
        <f>_xlfn.BINOM.DIST(5,C29,C30,1)</f>
        <v>0.15087890625000006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안 태호</dc:creator>
  <cp:lastModifiedBy>안 태호</cp:lastModifiedBy>
  <dcterms:created xsi:type="dcterms:W3CDTF">2026-04-13T06:33:35Z</dcterms:created>
  <dcterms:modified xsi:type="dcterms:W3CDTF">2026-04-25T20:43:47Z</dcterms:modified>
</cp:coreProperties>
</file>