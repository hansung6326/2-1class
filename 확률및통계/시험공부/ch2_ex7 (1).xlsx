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_class\확률및통계\시험공부\"/>
    </mc:Choice>
  </mc:AlternateContent>
  <xr:revisionPtr revIDLastSave="0" documentId="13_ncr:1_{05087107-12C0-4CA9-BE67-2E139C6A728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D9" i="3"/>
  <c r="D6" i="3"/>
  <c r="D2" i="3"/>
  <c r="D1" i="3"/>
  <c r="P9" i="3"/>
  <c r="P8" i="3"/>
  <c r="P7" i="3"/>
  <c r="P6" i="3"/>
  <c r="P5" i="3"/>
  <c r="P4" i="3"/>
  <c r="P3" i="3"/>
  <c r="R4" i="3"/>
  <c r="R5" i="3" s="1"/>
  <c r="R6" i="3" s="1"/>
  <c r="R7" i="3" s="1"/>
  <c r="R8" i="3" s="1"/>
  <c r="R9" i="3" s="1"/>
  <c r="R3" i="3"/>
  <c r="Q9" i="3"/>
  <c r="Q8" i="3"/>
  <c r="Q7" i="3"/>
  <c r="Q6" i="3"/>
  <c r="Q5" i="3"/>
  <c r="Q4" i="3"/>
  <c r="Q3" i="3"/>
  <c r="O9" i="3"/>
  <c r="O8" i="3"/>
  <c r="O7" i="3"/>
  <c r="O6" i="3"/>
  <c r="O5" i="3"/>
  <c r="O4" i="3"/>
  <c r="O3" i="3"/>
  <c r="K6" i="3"/>
  <c r="K7" i="3"/>
  <c r="K8" i="3"/>
  <c r="K9" i="3"/>
  <c r="K5" i="3"/>
  <c r="K4" i="3"/>
  <c r="K3" i="3"/>
  <c r="M5" i="3"/>
  <c r="M6" i="3"/>
  <c r="M7" i="3"/>
  <c r="M8" i="3"/>
  <c r="M9" i="3"/>
  <c r="M10" i="3"/>
  <c r="M4" i="3"/>
  <c r="M3" i="3"/>
  <c r="J10" i="3"/>
  <c r="J3" i="3"/>
  <c r="J4" i="3"/>
  <c r="J5" i="3"/>
  <c r="J6" i="3"/>
  <c r="J7" i="3"/>
  <c r="J8" i="3"/>
  <c r="J9" i="3"/>
  <c r="I10" i="3"/>
  <c r="I3" i="3" a="1"/>
  <c r="I3" i="3" s="1"/>
  <c r="I5" i="3"/>
  <c r="I6" i="3"/>
  <c r="I7" i="3"/>
  <c r="I8" i="3"/>
  <c r="I9" i="3"/>
  <c r="I4" i="3" l="1"/>
</calcChain>
</file>

<file path=xl/sharedStrings.xml><?xml version="1.0" encoding="utf-8"?>
<sst xmlns="http://schemas.openxmlformats.org/spreadsheetml/2006/main" count="47" uniqueCount="39">
  <si>
    <t>키</t>
    <phoneticPr fontId="1" type="noConversion"/>
  </si>
  <si>
    <t>실습</t>
    <phoneticPr fontId="1" type="noConversion"/>
  </si>
  <si>
    <t>1. 혈액형 자료 복사</t>
    <phoneticPr fontId="1" type="noConversion"/>
  </si>
  <si>
    <t>1) 막대그래프</t>
    <phoneticPr fontId="1" type="noConversion"/>
  </si>
  <si>
    <t>2)원형 차트</t>
    <phoneticPr fontId="1" type="noConversion"/>
  </si>
  <si>
    <t>2. 그룹화된 막대그래프</t>
    <phoneticPr fontId="1" type="noConversion"/>
  </si>
  <si>
    <t>영업팀 판매수량 데이터 복사</t>
    <phoneticPr fontId="1" type="noConversion"/>
  </si>
  <si>
    <t>3. 파레토 곡선</t>
    <phoneticPr fontId="1" type="noConversion"/>
  </si>
  <si>
    <t>미용 화장지 불량 요인 데이터 보사</t>
    <phoneticPr fontId="1" type="noConversion"/>
  </si>
  <si>
    <t xml:space="preserve">4. 양적 자료 </t>
    <phoneticPr fontId="1" type="noConversion"/>
  </si>
  <si>
    <t>1) 도수분포표</t>
    <phoneticPr fontId="1" type="noConversion"/>
  </si>
  <si>
    <t>2)히스토그램</t>
    <phoneticPr fontId="1" type="noConversion"/>
  </si>
  <si>
    <t>3) 도수 다각형</t>
    <phoneticPr fontId="1" type="noConversion"/>
  </si>
  <si>
    <t>min</t>
    <phoneticPr fontId="1" type="noConversion"/>
  </si>
  <si>
    <t>max</t>
    <phoneticPr fontId="1" type="noConversion"/>
  </si>
  <si>
    <t>stem</t>
    <phoneticPr fontId="1" type="noConversion"/>
  </si>
  <si>
    <t>leaf</t>
    <phoneticPr fontId="1" type="noConversion"/>
  </si>
  <si>
    <t>15-</t>
    <phoneticPr fontId="1" type="noConversion"/>
  </si>
  <si>
    <t>15+</t>
    <phoneticPr fontId="1" type="noConversion"/>
  </si>
  <si>
    <t>16-</t>
  </si>
  <si>
    <t>16+</t>
  </si>
  <si>
    <t>17-</t>
  </si>
  <si>
    <t>17+</t>
  </si>
  <si>
    <t>bin</t>
    <phoneticPr fontId="1" type="noConversion"/>
  </si>
  <si>
    <t>class</t>
    <phoneticPr fontId="1" type="noConversion"/>
  </si>
  <si>
    <t>Freq</t>
    <phoneticPr fontId="1" type="noConversion"/>
  </si>
  <si>
    <t>154.5미만</t>
    <phoneticPr fontId="1" type="noConversion"/>
  </si>
  <si>
    <t>154.5~159.5</t>
    <phoneticPr fontId="1" type="noConversion"/>
  </si>
  <si>
    <t>159.5~164.5</t>
    <phoneticPr fontId="1" type="noConversion"/>
  </si>
  <si>
    <t>164.5~169.5</t>
    <phoneticPr fontId="1" type="noConversion"/>
  </si>
  <si>
    <t>169.5~174.5</t>
    <phoneticPr fontId="1" type="noConversion"/>
  </si>
  <si>
    <t>174.5~179.5</t>
    <phoneticPr fontId="1" type="noConversion"/>
  </si>
  <si>
    <t>179.5~184.5</t>
    <phoneticPr fontId="1" type="noConversion"/>
  </si>
  <si>
    <t>Relative Freq</t>
    <phoneticPr fontId="1" type="noConversion"/>
  </si>
  <si>
    <t>줄기</t>
    <phoneticPr fontId="1" type="noConversion"/>
  </si>
  <si>
    <t>잎</t>
    <phoneticPr fontId="1" type="noConversion"/>
  </si>
  <si>
    <t>기타</t>
    <phoneticPr fontId="1" type="noConversion"/>
  </si>
  <si>
    <t>누적%</t>
    <phoneticPr fontId="1" type="noConversion"/>
  </si>
  <si>
    <t>빈도수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</si>
</sst>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히스토그램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Sheet3!$G$3:$G$10</c:f>
              <c:strCache>
                <c:ptCount val="8"/>
                <c:pt idx="0">
                  <c:v>154.5</c:v>
                </c:pt>
                <c:pt idx="1">
                  <c:v>159.5</c:v>
                </c:pt>
                <c:pt idx="2">
                  <c:v>164.5</c:v>
                </c:pt>
                <c:pt idx="3">
                  <c:v>169.5</c:v>
                </c:pt>
                <c:pt idx="4">
                  <c:v>174.5</c:v>
                </c:pt>
                <c:pt idx="5">
                  <c:v>179.5</c:v>
                </c:pt>
                <c:pt idx="6">
                  <c:v>184.5</c:v>
                </c:pt>
                <c:pt idx="7">
                  <c:v>기타</c:v>
                </c:pt>
              </c:strCache>
            </c:strRef>
          </c:cat>
          <c:val>
            <c:numRef>
              <c:f>Sheet3!$I$3:$I$9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4-42C9-9840-DD840EFDF5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018527"/>
        <c:axId val="1215034847"/>
      </c:barChart>
      <c:catAx>
        <c:axId val="121501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계급구간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34847"/>
        <c:crosses val="autoZero"/>
        <c:auto val="1"/>
        <c:lblAlgn val="ctr"/>
        <c:lblOffset val="100"/>
        <c:noMultiLvlLbl val="0"/>
      </c:catAx>
      <c:valAx>
        <c:axId val="12150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빈도수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1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돗수다각형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Sheet3!$I$2</c:f>
              <c:strCache>
                <c:ptCount val="1"/>
                <c:pt idx="0">
                  <c:v>Freq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Sheet3!$G$3:$G$9</c:f>
              <c:numCache>
                <c:formatCode>General</c:formatCode>
                <c:ptCount val="7"/>
                <c:pt idx="0">
                  <c:v>154.5</c:v>
                </c:pt>
                <c:pt idx="1">
                  <c:v>159.5</c:v>
                </c:pt>
                <c:pt idx="2">
                  <c:v>164.5</c:v>
                </c:pt>
                <c:pt idx="3">
                  <c:v>169.5</c:v>
                </c:pt>
                <c:pt idx="4">
                  <c:v>174.5</c:v>
                </c:pt>
                <c:pt idx="5">
                  <c:v>179.5</c:v>
                </c:pt>
                <c:pt idx="6">
                  <c:v>184.5</c:v>
                </c:pt>
              </c:numCache>
            </c:numRef>
          </c:cat>
          <c:val>
            <c:numRef>
              <c:f>Sheet3!$I$3:$I$9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4-47B6-A1A5-A293EA8CE0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15053087"/>
        <c:axId val="1215071327"/>
      </c:lineChart>
      <c:catAx>
        <c:axId val="1215053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계급구간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71327"/>
        <c:crosses val="autoZero"/>
        <c:auto val="1"/>
        <c:lblAlgn val="ctr"/>
        <c:lblOffset val="100"/>
        <c:noMultiLvlLbl val="0"/>
      </c:catAx>
      <c:valAx>
        <c:axId val="121507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빈도수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50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파레토그림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Sheet3!$P$2</c:f>
              <c:strCache>
                <c:ptCount val="1"/>
                <c:pt idx="0">
                  <c:v>빈도수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Sheet3!$O$3:$O$9</c:f>
              <c:numCache>
                <c:formatCode>General</c:formatCode>
                <c:ptCount val="7"/>
                <c:pt idx="0">
                  <c:v>164.5</c:v>
                </c:pt>
                <c:pt idx="1">
                  <c:v>174.5</c:v>
                </c:pt>
                <c:pt idx="2">
                  <c:v>169.5</c:v>
                </c:pt>
                <c:pt idx="3">
                  <c:v>179.5</c:v>
                </c:pt>
                <c:pt idx="4">
                  <c:v>159.5</c:v>
                </c:pt>
                <c:pt idx="5">
                  <c:v>184.5</c:v>
                </c:pt>
                <c:pt idx="6">
                  <c:v>154.5</c:v>
                </c:pt>
              </c:numCache>
            </c:numRef>
          </c:cat>
          <c:val>
            <c:numRef>
              <c:f>Sheet3!$P$3:$P$9</c:f>
              <c:numCache>
                <c:formatCode>General</c:formatCode>
                <c:ptCount val="7"/>
                <c:pt idx="0">
                  <c:v>14</c:v>
                </c:pt>
                <c:pt idx="1">
                  <c:v>12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F-4020-B151-744710B9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7869503"/>
        <c:axId val="1967870463"/>
      </c:barChart>
      <c:lineChart>
        <c:grouping val="standard"/>
        <c:varyColors val="0"/>
        <c:ser>
          <c:idx val="1"/>
          <c:order val="1"/>
          <c:tx>
            <c:strRef>
              <c:f>Sheet3!$R$2</c:f>
              <c:strCache>
                <c:ptCount val="1"/>
                <c:pt idx="0">
                  <c:v>누적%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Sheet3!$O$3:$O$9</c:f>
              <c:numCache>
                <c:formatCode>General</c:formatCode>
                <c:ptCount val="7"/>
                <c:pt idx="0">
                  <c:v>164.5</c:v>
                </c:pt>
                <c:pt idx="1">
                  <c:v>174.5</c:v>
                </c:pt>
                <c:pt idx="2">
                  <c:v>169.5</c:v>
                </c:pt>
                <c:pt idx="3">
                  <c:v>179.5</c:v>
                </c:pt>
                <c:pt idx="4">
                  <c:v>159.5</c:v>
                </c:pt>
                <c:pt idx="5">
                  <c:v>184.5</c:v>
                </c:pt>
                <c:pt idx="6">
                  <c:v>154.5</c:v>
                </c:pt>
              </c:numCache>
            </c:numRef>
          </c:cat>
          <c:val>
            <c:numRef>
              <c:f>Sheet3!$R$3:$R$9</c:f>
              <c:numCache>
                <c:formatCode>General</c:formatCode>
                <c:ptCount val="7"/>
                <c:pt idx="0">
                  <c:v>0.27450980392156865</c:v>
                </c:pt>
                <c:pt idx="1">
                  <c:v>0.50980392156862742</c:v>
                </c:pt>
                <c:pt idx="2">
                  <c:v>0.66666666666666663</c:v>
                </c:pt>
                <c:pt idx="3">
                  <c:v>0.80392156862745101</c:v>
                </c:pt>
                <c:pt idx="4">
                  <c:v>0.90196078431372551</c:v>
                </c:pt>
                <c:pt idx="5">
                  <c:v>0.98039215686274517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F-4020-B151-744710B9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968127"/>
        <c:axId val="1214957567"/>
      </c:lineChart>
      <c:catAx>
        <c:axId val="196786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870463"/>
        <c:crosses val="autoZero"/>
        <c:auto val="1"/>
        <c:lblAlgn val="ctr"/>
        <c:lblOffset val="100"/>
        <c:noMultiLvlLbl val="0"/>
      </c:catAx>
      <c:valAx>
        <c:axId val="196787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869503"/>
        <c:crosses val="autoZero"/>
        <c:crossBetween val="between"/>
      </c:valAx>
      <c:valAx>
        <c:axId val="1214957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14968127"/>
        <c:crosses val="max"/>
        <c:crossBetween val="between"/>
      </c:valAx>
      <c:catAx>
        <c:axId val="1214968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4957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22</xdr:row>
      <xdr:rowOff>101600</xdr:rowOff>
    </xdr:from>
    <xdr:to>
      <xdr:col>8</xdr:col>
      <xdr:colOff>107950</xdr:colOff>
      <xdr:row>38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9B9E4A5-80E0-DB03-99A5-5792E2546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10</xdr:row>
      <xdr:rowOff>127000</xdr:rowOff>
    </xdr:from>
    <xdr:to>
      <xdr:col>14</xdr:col>
      <xdr:colOff>0</xdr:colOff>
      <xdr:row>26</xdr:row>
      <xdr:rowOff>25400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62BA971-00C5-991D-2D32-129FC6623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177800</xdr:colOff>
      <xdr:row>10</xdr:row>
      <xdr:rowOff>12700</xdr:rowOff>
    </xdr:from>
    <xdr:to>
      <xdr:col>21</xdr:col>
      <xdr:colOff>127000</xdr:colOff>
      <xdr:row>25</xdr:row>
      <xdr:rowOff>88900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D86762A-5510-7629-C738-A31C7AFF3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workbookViewId="0">
      <selection activeCell="C31" sqref="C31"/>
    </sheetView>
  </sheetViews>
  <sheetFormatPr defaultRowHeight="14" x14ac:dyDescent="0.25"/>
  <sheetData>
    <row r="1" spans="1:1" x14ac:dyDescent="0.25">
      <c r="A1" t="s">
        <v>0</v>
      </c>
    </row>
    <row r="2" spans="1:1" x14ac:dyDescent="0.25">
      <c r="A2">
        <v>181</v>
      </c>
    </row>
    <row r="3" spans="1:1" x14ac:dyDescent="0.25">
      <c r="A3">
        <v>161</v>
      </c>
    </row>
    <row r="4" spans="1:1" x14ac:dyDescent="0.25">
      <c r="A4">
        <v>170</v>
      </c>
    </row>
    <row r="5" spans="1:1" x14ac:dyDescent="0.25">
      <c r="A5">
        <v>160</v>
      </c>
    </row>
    <row r="6" spans="1:1" x14ac:dyDescent="0.25">
      <c r="A6">
        <v>158</v>
      </c>
    </row>
    <row r="7" spans="1:1" x14ac:dyDescent="0.25">
      <c r="A7">
        <v>169</v>
      </c>
    </row>
    <row r="8" spans="1:1" x14ac:dyDescent="0.25">
      <c r="A8">
        <v>162</v>
      </c>
    </row>
    <row r="9" spans="1:1" x14ac:dyDescent="0.25">
      <c r="A9">
        <v>179</v>
      </c>
    </row>
    <row r="10" spans="1:1" x14ac:dyDescent="0.25">
      <c r="A10">
        <v>183</v>
      </c>
    </row>
    <row r="11" spans="1:1" x14ac:dyDescent="0.25">
      <c r="A11">
        <v>178</v>
      </c>
    </row>
    <row r="12" spans="1:1" x14ac:dyDescent="0.25">
      <c r="A12">
        <v>171</v>
      </c>
    </row>
    <row r="13" spans="1:1" x14ac:dyDescent="0.25">
      <c r="A13">
        <v>177</v>
      </c>
    </row>
    <row r="14" spans="1:1" x14ac:dyDescent="0.25">
      <c r="A14">
        <v>163</v>
      </c>
    </row>
    <row r="15" spans="1:1" x14ac:dyDescent="0.25">
      <c r="A15">
        <v>158</v>
      </c>
    </row>
    <row r="16" spans="1:1" x14ac:dyDescent="0.25">
      <c r="A16">
        <v>160</v>
      </c>
    </row>
    <row r="17" spans="1:1" x14ac:dyDescent="0.25">
      <c r="A17">
        <v>160</v>
      </c>
    </row>
    <row r="18" spans="1:1" x14ac:dyDescent="0.25">
      <c r="A18">
        <v>158</v>
      </c>
    </row>
    <row r="19" spans="1:1" x14ac:dyDescent="0.25">
      <c r="A19">
        <v>174</v>
      </c>
    </row>
    <row r="20" spans="1:1" x14ac:dyDescent="0.25">
      <c r="A20">
        <v>160</v>
      </c>
    </row>
    <row r="21" spans="1:1" x14ac:dyDescent="0.25">
      <c r="A21">
        <v>163</v>
      </c>
    </row>
    <row r="22" spans="1:1" x14ac:dyDescent="0.25">
      <c r="A22">
        <v>167</v>
      </c>
    </row>
    <row r="23" spans="1:1" x14ac:dyDescent="0.25">
      <c r="A23">
        <v>165</v>
      </c>
    </row>
    <row r="24" spans="1:1" x14ac:dyDescent="0.25">
      <c r="A24">
        <v>163</v>
      </c>
    </row>
    <row r="25" spans="1:1" x14ac:dyDescent="0.25">
      <c r="A25">
        <v>173</v>
      </c>
    </row>
    <row r="26" spans="1:1" x14ac:dyDescent="0.25">
      <c r="A26">
        <v>178</v>
      </c>
    </row>
    <row r="27" spans="1:1" x14ac:dyDescent="0.25">
      <c r="A27">
        <v>170</v>
      </c>
    </row>
    <row r="28" spans="1:1" x14ac:dyDescent="0.25">
      <c r="A28">
        <v>167</v>
      </c>
    </row>
    <row r="29" spans="1:1" x14ac:dyDescent="0.25">
      <c r="A29">
        <v>177</v>
      </c>
    </row>
    <row r="30" spans="1:1" x14ac:dyDescent="0.25">
      <c r="A30">
        <v>176</v>
      </c>
    </row>
    <row r="31" spans="1:1" x14ac:dyDescent="0.25">
      <c r="A31">
        <v>170</v>
      </c>
    </row>
    <row r="32" spans="1:1" x14ac:dyDescent="0.25">
      <c r="A32">
        <v>152</v>
      </c>
    </row>
    <row r="33" spans="1:1" x14ac:dyDescent="0.25">
      <c r="A33">
        <v>158</v>
      </c>
    </row>
    <row r="34" spans="1:1" x14ac:dyDescent="0.25">
      <c r="A34">
        <v>160</v>
      </c>
    </row>
    <row r="35" spans="1:1" x14ac:dyDescent="0.25">
      <c r="A35">
        <v>160</v>
      </c>
    </row>
    <row r="36" spans="1:1" x14ac:dyDescent="0.25">
      <c r="A36">
        <v>159</v>
      </c>
    </row>
    <row r="37" spans="1:1" x14ac:dyDescent="0.25">
      <c r="A37">
        <v>180</v>
      </c>
    </row>
    <row r="38" spans="1:1" x14ac:dyDescent="0.25">
      <c r="A38">
        <v>169</v>
      </c>
    </row>
    <row r="39" spans="1:1" x14ac:dyDescent="0.25">
      <c r="A39">
        <v>162</v>
      </c>
    </row>
    <row r="40" spans="1:1" x14ac:dyDescent="0.25">
      <c r="A40">
        <v>178</v>
      </c>
    </row>
    <row r="41" spans="1:1" x14ac:dyDescent="0.25">
      <c r="A41">
        <v>173</v>
      </c>
    </row>
    <row r="42" spans="1:1" x14ac:dyDescent="0.25">
      <c r="A42">
        <v>173</v>
      </c>
    </row>
    <row r="43" spans="1:1" x14ac:dyDescent="0.25">
      <c r="A43">
        <v>171</v>
      </c>
    </row>
    <row r="44" spans="1:1" x14ac:dyDescent="0.25">
      <c r="A44">
        <v>171</v>
      </c>
    </row>
    <row r="45" spans="1:1" x14ac:dyDescent="0.25">
      <c r="A45">
        <v>170</v>
      </c>
    </row>
    <row r="46" spans="1:1" x14ac:dyDescent="0.25">
      <c r="A46">
        <v>160</v>
      </c>
    </row>
    <row r="47" spans="1:1" x14ac:dyDescent="0.25">
      <c r="A47">
        <v>167</v>
      </c>
    </row>
    <row r="48" spans="1:1" x14ac:dyDescent="0.25">
      <c r="A48">
        <v>168</v>
      </c>
    </row>
    <row r="49" spans="1:1" x14ac:dyDescent="0.25">
      <c r="A49">
        <v>166</v>
      </c>
    </row>
    <row r="50" spans="1:1" x14ac:dyDescent="0.25">
      <c r="A50">
        <v>164</v>
      </c>
    </row>
    <row r="51" spans="1:1" x14ac:dyDescent="0.25">
      <c r="A51">
        <v>174</v>
      </c>
    </row>
    <row r="52" spans="1:1" x14ac:dyDescent="0.25">
      <c r="A52">
        <v>180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opLeftCell="A4" workbookViewId="0">
      <selection activeCell="D18" sqref="D18"/>
    </sheetView>
  </sheetViews>
  <sheetFormatPr defaultRowHeight="14" x14ac:dyDescent="0.25"/>
  <sheetData>
    <row r="1" spans="1:2" x14ac:dyDescent="0.25">
      <c r="A1" s="1" t="s">
        <v>1</v>
      </c>
    </row>
    <row r="2" spans="1:2" x14ac:dyDescent="0.25">
      <c r="A2" s="1" t="s">
        <v>2</v>
      </c>
    </row>
    <row r="3" spans="1:2" x14ac:dyDescent="0.25">
      <c r="B3" s="1" t="s">
        <v>3</v>
      </c>
    </row>
    <row r="4" spans="1:2" x14ac:dyDescent="0.25">
      <c r="B4" s="1" t="s">
        <v>4</v>
      </c>
    </row>
    <row r="6" spans="1:2" x14ac:dyDescent="0.25">
      <c r="A6" s="1" t="s">
        <v>5</v>
      </c>
    </row>
    <row r="7" spans="1:2" x14ac:dyDescent="0.25">
      <c r="B7" s="1" t="s">
        <v>6</v>
      </c>
    </row>
    <row r="9" spans="1:2" x14ac:dyDescent="0.25">
      <c r="A9" s="1" t="s">
        <v>7</v>
      </c>
    </row>
    <row r="10" spans="1:2" x14ac:dyDescent="0.25">
      <c r="B10" s="1" t="s">
        <v>8</v>
      </c>
    </row>
    <row r="12" spans="1:2" x14ac:dyDescent="0.25">
      <c r="A12" s="1" t="s">
        <v>9</v>
      </c>
    </row>
    <row r="13" spans="1:2" x14ac:dyDescent="0.25">
      <c r="B13" s="1" t="s">
        <v>10</v>
      </c>
    </row>
    <row r="14" spans="1:2" x14ac:dyDescent="0.25">
      <c r="B14" t="s">
        <v>11</v>
      </c>
    </row>
    <row r="15" spans="1:2" x14ac:dyDescent="0.25">
      <c r="B15" s="1" t="s">
        <v>12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tabSelected="1" topLeftCell="A7" workbookViewId="0">
      <selection activeCell="Q3" sqref="Q3"/>
    </sheetView>
  </sheetViews>
  <sheetFormatPr defaultRowHeight="14" x14ac:dyDescent="0.25"/>
  <cols>
    <col min="7" max="7" width="9.9140625" customWidth="1"/>
    <col min="8" max="8" width="13.08203125" customWidth="1"/>
    <col min="10" max="10" width="11.25" bestFit="1" customWidth="1"/>
    <col min="13" max="13" width="14.9140625" bestFit="1" customWidth="1"/>
  </cols>
  <sheetData>
    <row r="1" spans="1:18" x14ac:dyDescent="0.25">
      <c r="A1" t="s">
        <v>0</v>
      </c>
      <c r="C1" s="1" t="s">
        <v>13</v>
      </c>
      <c r="D1">
        <f>MIN(A2:A52)</f>
        <v>152</v>
      </c>
    </row>
    <row r="2" spans="1:18" x14ac:dyDescent="0.25">
      <c r="A2">
        <v>181</v>
      </c>
      <c r="C2" s="1" t="s">
        <v>14</v>
      </c>
      <c r="D2">
        <f>MAX(A2:A52)</f>
        <v>183</v>
      </c>
      <c r="G2" s="2" t="s">
        <v>23</v>
      </c>
      <c r="H2" s="2" t="s">
        <v>24</v>
      </c>
      <c r="I2" s="2" t="s">
        <v>25</v>
      </c>
      <c r="J2" s="2" t="s">
        <v>33</v>
      </c>
      <c r="K2" s="2" t="s">
        <v>37</v>
      </c>
      <c r="L2" s="2" t="s">
        <v>34</v>
      </c>
      <c r="M2" s="2" t="s">
        <v>35</v>
      </c>
      <c r="O2" s="2" t="s">
        <v>23</v>
      </c>
      <c r="P2" s="2" t="s">
        <v>38</v>
      </c>
      <c r="R2" s="2" t="s">
        <v>37</v>
      </c>
    </row>
    <row r="3" spans="1:18" x14ac:dyDescent="0.25">
      <c r="A3">
        <v>161</v>
      </c>
      <c r="G3">
        <v>154.5</v>
      </c>
      <c r="H3" s="2" t="s">
        <v>26</v>
      </c>
      <c r="I3">
        <f t="array" ref="I3:I9">FREQUENCY(A2:A52,G3:G8)</f>
        <v>1</v>
      </c>
      <c r="J3">
        <f>I3/$I$10</f>
        <v>1.9607843137254902E-2</v>
      </c>
      <c r="K3">
        <f>J3</f>
        <v>1.9607843137254902E-2</v>
      </c>
      <c r="L3" s="2">
        <v>15</v>
      </c>
      <c r="M3" t="str">
        <f>REPT("0",COUNTIF($A$2:$A$52,L3*10+0))&amp;REPT("1",COUNTIF($A$2:$A$52,L3*10+1))&amp;REPT("2",COUNTIF($A$2:$A$52,L3*10+2))&amp;REPT("3",COUNTIF($A$2:$A$52,L3*10+3))&amp;REPT("4",COUNTIF($A$2:$A$52,L3*10+4))</f>
        <v>2</v>
      </c>
      <c r="O3">
        <f>G5</f>
        <v>164.5</v>
      </c>
      <c r="P3">
        <f>I5</f>
        <v>14</v>
      </c>
      <c r="Q3">
        <f>J5</f>
        <v>0.27450980392156865</v>
      </c>
      <c r="R3">
        <f>Q3</f>
        <v>0.27450980392156865</v>
      </c>
    </row>
    <row r="4" spans="1:18" x14ac:dyDescent="0.25">
      <c r="A4">
        <v>170</v>
      </c>
      <c r="G4">
        <v>159.5</v>
      </c>
      <c r="H4" s="2" t="s">
        <v>27</v>
      </c>
      <c r="I4">
        <v>5</v>
      </c>
      <c r="J4">
        <f t="shared" ref="J4:J10" si="0">I4/$I$10</f>
        <v>9.8039215686274508E-2</v>
      </c>
      <c r="K4">
        <f>K3+J4</f>
        <v>0.11764705882352941</v>
      </c>
      <c r="L4" s="2">
        <v>15</v>
      </c>
      <c r="M4" t="str">
        <f>REPT("5",COUNTIF($A$2:$A$52,L4*10+5))&amp;REPT("6",COUNTIF($A$2:$A$52,L4*10+6))&amp;REPT("7",COUNTIF($A$2:$A$52,L4*10+7))&amp;REPT("8",COUNTIF($A$2:$A$52,L4*10+8))&amp;REPT("9",COUNTIF($A$2:$A$52,L4*10+9))</f>
        <v>88889</v>
      </c>
      <c r="O4">
        <f>G7</f>
        <v>174.5</v>
      </c>
      <c r="P4">
        <f>I7</f>
        <v>12</v>
      </c>
      <c r="Q4">
        <f>J7</f>
        <v>0.23529411764705882</v>
      </c>
      <c r="R4">
        <f>R3+Q4</f>
        <v>0.50980392156862742</v>
      </c>
    </row>
    <row r="5" spans="1:18" x14ac:dyDescent="0.25">
      <c r="A5">
        <v>160</v>
      </c>
      <c r="C5" s="1" t="s">
        <v>15</v>
      </c>
      <c r="D5" s="1" t="s">
        <v>16</v>
      </c>
      <c r="G5">
        <v>164.5</v>
      </c>
      <c r="H5" s="2" t="s">
        <v>28</v>
      </c>
      <c r="I5">
        <v>14</v>
      </c>
      <c r="J5">
        <f t="shared" si="0"/>
        <v>0.27450980392156865</v>
      </c>
      <c r="K5">
        <f>K4+J5</f>
        <v>0.39215686274509809</v>
      </c>
      <c r="L5" s="2">
        <v>16</v>
      </c>
      <c r="M5" t="str">
        <f t="shared" ref="M5" si="1">REPT("0",COUNTIF($A$2:$A$52,L5*10+0))&amp;REPT("1",COUNTIF($A$2:$A$52,L5*10+1))&amp;REPT("2",COUNTIF($A$2:$A$52,L5*10+2))&amp;REPT("3",COUNTIF($A$2:$A$52,L5*10+3))&amp;REPT("4",COUNTIF($A$2:$A$52,L5*10+4))</f>
        <v>00000001223334</v>
      </c>
      <c r="O5">
        <f>G6</f>
        <v>169.5</v>
      </c>
      <c r="P5">
        <f>I6</f>
        <v>8</v>
      </c>
      <c r="Q5">
        <f>J6</f>
        <v>0.15686274509803921</v>
      </c>
      <c r="R5">
        <f t="shared" ref="R5:R9" si="2">R4+Q5</f>
        <v>0.66666666666666663</v>
      </c>
    </row>
    <row r="6" spans="1:18" x14ac:dyDescent="0.25">
      <c r="A6">
        <v>158</v>
      </c>
      <c r="C6">
        <v>15</v>
      </c>
      <c r="D6" t="str">
        <f>REPT("0", COUNTIF($A$2:$A$52, C6*10 + 0))&amp;REPT("1", COUNTIF($A$2:$A$52, C6*10 + 1))&amp;REPT("2", COUNTIF($A$2:$A$52, C6*10 + 2))&amp;REPT("3", COUNTIF($A$2:$A$52, C6*10 + 3))&amp;REPT("4", COUNTIF($A$2:$A$52, C6*10 + 4))&amp;REPT("5", COUNTIF($A$2:$A$52, C6*10 + 5))&amp;REPT("6", COUNTIF($A$2:$A$52, C6*10 + 6))&amp;REPT("7", COUNTIF($A$2:$A$52, C6*10 + 7))&amp;REPT("8", COUNTIF($A$2:$A$52, C6*10 + 8))&amp;REPT("9", COUNTIF($A$2:$A$52, C6*10 + 9))</f>
        <v>288889</v>
      </c>
      <c r="G6">
        <v>169.5</v>
      </c>
      <c r="H6" s="2" t="s">
        <v>29</v>
      </c>
      <c r="I6">
        <v>8</v>
      </c>
      <c r="J6">
        <f t="shared" si="0"/>
        <v>0.15686274509803921</v>
      </c>
      <c r="K6">
        <f t="shared" ref="K6:K9" si="3">K5+J6</f>
        <v>0.5490196078431373</v>
      </c>
      <c r="L6" s="2">
        <v>16</v>
      </c>
      <c r="M6" t="str">
        <f t="shared" ref="M6" si="4">REPT("5",COUNTIF($A$2:$A$52,L6*10+5))&amp;REPT("6",COUNTIF($A$2:$A$52,L6*10+6))&amp;REPT("7",COUNTIF($A$2:$A$52,L6*10+7))&amp;REPT("8",COUNTIF($A$2:$A$52,L6*10+8))&amp;REPT("9",COUNTIF($A$2:$A$52,L6*10+9))</f>
        <v>56777899</v>
      </c>
      <c r="O6">
        <f>G8</f>
        <v>179.5</v>
      </c>
      <c r="P6">
        <f>I8</f>
        <v>7</v>
      </c>
      <c r="Q6">
        <f>J8</f>
        <v>0.13725490196078433</v>
      </c>
      <c r="R6">
        <f t="shared" si="2"/>
        <v>0.80392156862745101</v>
      </c>
    </row>
    <row r="7" spans="1:18" x14ac:dyDescent="0.25">
      <c r="A7">
        <v>169</v>
      </c>
      <c r="C7">
        <v>16</v>
      </c>
      <c r="D7" t="str">
        <f t="shared" ref="D7:D9" si="5">REPT("0", COUNTIF($A$2:$A$52, C7*10 + 0))&amp;REPT("1", COUNTIF($A$2:$A$52, C7*10 + 1))&amp;REPT("2", COUNTIF($A$2:$A$52, C7*10 + 2))&amp;REPT("3", COUNTIF($A$2:$A$52, C7*10 + 3))&amp;REPT("4", COUNTIF($A$2:$A$52, C7*10 + 4))&amp;REPT("5", COUNTIF($A$2:$A$52, C7*10 + 5))&amp;REPT("6", COUNTIF($A$2:$A$52, C7*10 + 6))&amp;REPT("7", COUNTIF($A$2:$A$52, C7*10 + 7))&amp;REPT("8", COUNTIF($A$2:$A$52, C7*10 + 8))&amp;REPT("9", COUNTIF($A$2:$A$52, C7*10 + 9))</f>
        <v>0000000122333456777899</v>
      </c>
      <c r="G7">
        <v>174.5</v>
      </c>
      <c r="H7" s="2" t="s">
        <v>30</v>
      </c>
      <c r="I7">
        <v>12</v>
      </c>
      <c r="J7">
        <f t="shared" si="0"/>
        <v>0.23529411764705882</v>
      </c>
      <c r="K7">
        <f t="shared" si="3"/>
        <v>0.78431372549019618</v>
      </c>
      <c r="L7" s="2">
        <v>17</v>
      </c>
      <c r="M7" t="str">
        <f t="shared" ref="M7" si="6">REPT("0",COUNTIF($A$2:$A$52,L7*10+0))&amp;REPT("1",COUNTIF($A$2:$A$52,L7*10+1))&amp;REPT("2",COUNTIF($A$2:$A$52,L7*10+2))&amp;REPT("3",COUNTIF($A$2:$A$52,L7*10+3))&amp;REPT("4",COUNTIF($A$2:$A$52,L7*10+4))</f>
        <v>000011133344</v>
      </c>
      <c r="O7">
        <f>G4</f>
        <v>159.5</v>
      </c>
      <c r="P7">
        <f>I4</f>
        <v>5</v>
      </c>
      <c r="Q7">
        <f>J4</f>
        <v>9.8039215686274508E-2</v>
      </c>
      <c r="R7">
        <f t="shared" si="2"/>
        <v>0.90196078431372551</v>
      </c>
    </row>
    <row r="8" spans="1:18" x14ac:dyDescent="0.25">
      <c r="A8">
        <v>162</v>
      </c>
      <c r="C8">
        <v>17</v>
      </c>
      <c r="D8" t="str">
        <f t="shared" si="5"/>
        <v>0000111333446778889</v>
      </c>
      <c r="G8">
        <v>179.5</v>
      </c>
      <c r="H8" s="2" t="s">
        <v>31</v>
      </c>
      <c r="I8">
        <v>7</v>
      </c>
      <c r="J8">
        <f t="shared" si="0"/>
        <v>0.13725490196078433</v>
      </c>
      <c r="K8">
        <f t="shared" si="3"/>
        <v>0.92156862745098045</v>
      </c>
      <c r="L8" s="2">
        <v>17</v>
      </c>
      <c r="M8" t="str">
        <f t="shared" ref="M8" si="7">REPT("5",COUNTIF($A$2:$A$52,L8*10+5))&amp;REPT("6",COUNTIF($A$2:$A$52,L8*10+6))&amp;REPT("7",COUNTIF($A$2:$A$52,L8*10+7))&amp;REPT("8",COUNTIF($A$2:$A$52,L8*10+8))&amp;REPT("9",COUNTIF($A$2:$A$52,L8*10+9))</f>
        <v>6778889</v>
      </c>
      <c r="O8">
        <f>G9</f>
        <v>184.5</v>
      </c>
      <c r="P8">
        <f>I9</f>
        <v>4</v>
      </c>
      <c r="Q8">
        <f>J9</f>
        <v>7.8431372549019607E-2</v>
      </c>
      <c r="R8">
        <f t="shared" si="2"/>
        <v>0.98039215686274517</v>
      </c>
    </row>
    <row r="9" spans="1:18" x14ac:dyDescent="0.25">
      <c r="A9">
        <v>179</v>
      </c>
      <c r="C9">
        <v>18</v>
      </c>
      <c r="D9" t="str">
        <f t="shared" si="5"/>
        <v>0013</v>
      </c>
      <c r="G9">
        <v>184.5</v>
      </c>
      <c r="H9" s="2" t="s">
        <v>32</v>
      </c>
      <c r="I9">
        <v>4</v>
      </c>
      <c r="J9">
        <f t="shared" si="0"/>
        <v>7.8431372549019607E-2</v>
      </c>
      <c r="K9">
        <f t="shared" si="3"/>
        <v>1</v>
      </c>
      <c r="L9" s="2">
        <v>18</v>
      </c>
      <c r="M9" t="str">
        <f t="shared" ref="M9" si="8">REPT("0",COUNTIF($A$2:$A$52,L9*10+0))&amp;REPT("1",COUNTIF($A$2:$A$52,L9*10+1))&amp;REPT("2",COUNTIF($A$2:$A$52,L9*10+2))&amp;REPT("3",COUNTIF($A$2:$A$52,L9*10+3))&amp;REPT("4",COUNTIF($A$2:$A$52,L9*10+4))</f>
        <v>0013</v>
      </c>
      <c r="O9">
        <f>G3</f>
        <v>154.5</v>
      </c>
      <c r="P9">
        <f>I3</f>
        <v>1</v>
      </c>
      <c r="Q9">
        <f>J3</f>
        <v>1.9607843137254902E-2</v>
      </c>
      <c r="R9">
        <f t="shared" si="2"/>
        <v>1</v>
      </c>
    </row>
    <row r="10" spans="1:18" x14ac:dyDescent="0.25">
      <c r="A10">
        <v>183</v>
      </c>
      <c r="G10" s="2" t="s">
        <v>36</v>
      </c>
      <c r="I10">
        <f>SUM(I3:I9)</f>
        <v>51</v>
      </c>
      <c r="J10">
        <f t="shared" si="0"/>
        <v>1</v>
      </c>
      <c r="L10" s="2">
        <v>18</v>
      </c>
      <c r="M10" t="str">
        <f t="shared" ref="M10" si="9">REPT("5",COUNTIF($A$2:$A$52,L10*10+5))&amp;REPT("6",COUNTIF($A$2:$A$52,L10*10+6))&amp;REPT("7",COUNTIF($A$2:$A$52,L10*10+7))&amp;REPT("8",COUNTIF($A$2:$A$52,L10*10+8))&amp;REPT("9",COUNTIF($A$2:$A$52,L10*10+9))</f>
        <v/>
      </c>
    </row>
    <row r="11" spans="1:18" x14ac:dyDescent="0.25">
      <c r="A11">
        <v>178</v>
      </c>
    </row>
    <row r="12" spans="1:18" x14ac:dyDescent="0.25">
      <c r="A12">
        <v>171</v>
      </c>
    </row>
    <row r="13" spans="1:18" x14ac:dyDescent="0.25">
      <c r="A13">
        <v>177</v>
      </c>
    </row>
    <row r="14" spans="1:18" x14ac:dyDescent="0.25">
      <c r="A14">
        <v>163</v>
      </c>
      <c r="C14" s="1" t="s">
        <v>15</v>
      </c>
      <c r="D14" s="1" t="s">
        <v>15</v>
      </c>
      <c r="E14" s="1" t="s">
        <v>16</v>
      </c>
    </row>
    <row r="15" spans="1:18" x14ac:dyDescent="0.25">
      <c r="A15">
        <v>158</v>
      </c>
      <c r="C15" s="1" t="s">
        <v>17</v>
      </c>
      <c r="D15">
        <v>15</v>
      </c>
    </row>
    <row r="16" spans="1:18" x14ac:dyDescent="0.25">
      <c r="A16">
        <v>160</v>
      </c>
      <c r="C16" s="1" t="s">
        <v>18</v>
      </c>
      <c r="D16">
        <v>15</v>
      </c>
    </row>
    <row r="17" spans="1:4" x14ac:dyDescent="0.25">
      <c r="A17">
        <v>160</v>
      </c>
      <c r="C17" s="1" t="s">
        <v>19</v>
      </c>
      <c r="D17">
        <v>16</v>
      </c>
    </row>
    <row r="18" spans="1:4" x14ac:dyDescent="0.25">
      <c r="A18">
        <v>158</v>
      </c>
      <c r="C18" s="1" t="s">
        <v>20</v>
      </c>
      <c r="D18">
        <v>16</v>
      </c>
    </row>
    <row r="19" spans="1:4" x14ac:dyDescent="0.25">
      <c r="A19">
        <v>174</v>
      </c>
      <c r="C19" s="1" t="s">
        <v>19</v>
      </c>
      <c r="D19">
        <v>17</v>
      </c>
    </row>
    <row r="20" spans="1:4" x14ac:dyDescent="0.25">
      <c r="A20">
        <v>160</v>
      </c>
      <c r="C20" s="1" t="s">
        <v>20</v>
      </c>
      <c r="D20">
        <v>17</v>
      </c>
    </row>
    <row r="21" spans="1:4" x14ac:dyDescent="0.25">
      <c r="A21">
        <v>163</v>
      </c>
      <c r="C21" s="1" t="s">
        <v>21</v>
      </c>
      <c r="D21">
        <v>18</v>
      </c>
    </row>
    <row r="22" spans="1:4" x14ac:dyDescent="0.25">
      <c r="A22">
        <v>167</v>
      </c>
      <c r="C22" s="1" t="s">
        <v>22</v>
      </c>
      <c r="D22">
        <v>18</v>
      </c>
    </row>
    <row r="23" spans="1:4" x14ac:dyDescent="0.25">
      <c r="A23">
        <v>165</v>
      </c>
    </row>
    <row r="24" spans="1:4" x14ac:dyDescent="0.25">
      <c r="A24">
        <v>163</v>
      </c>
    </row>
    <row r="25" spans="1:4" x14ac:dyDescent="0.25">
      <c r="A25">
        <v>173</v>
      </c>
    </row>
    <row r="26" spans="1:4" x14ac:dyDescent="0.25">
      <c r="A26">
        <v>178</v>
      </c>
    </row>
    <row r="27" spans="1:4" x14ac:dyDescent="0.25">
      <c r="A27">
        <v>170</v>
      </c>
    </row>
    <row r="28" spans="1:4" x14ac:dyDescent="0.25">
      <c r="A28">
        <v>167</v>
      </c>
    </row>
    <row r="29" spans="1:4" x14ac:dyDescent="0.25">
      <c r="A29">
        <v>177</v>
      </c>
    </row>
    <row r="30" spans="1:4" x14ac:dyDescent="0.25">
      <c r="A30">
        <v>176</v>
      </c>
    </row>
    <row r="31" spans="1:4" x14ac:dyDescent="0.25">
      <c r="A31">
        <v>170</v>
      </c>
    </row>
    <row r="32" spans="1:4" x14ac:dyDescent="0.25">
      <c r="A32">
        <v>152</v>
      </c>
    </row>
    <row r="33" spans="1:1" x14ac:dyDescent="0.25">
      <c r="A33">
        <v>158</v>
      </c>
    </row>
    <row r="34" spans="1:1" x14ac:dyDescent="0.25">
      <c r="A34">
        <v>160</v>
      </c>
    </row>
    <row r="35" spans="1:1" x14ac:dyDescent="0.25">
      <c r="A35">
        <v>160</v>
      </c>
    </row>
    <row r="36" spans="1:1" x14ac:dyDescent="0.25">
      <c r="A36">
        <v>159</v>
      </c>
    </row>
    <row r="37" spans="1:1" x14ac:dyDescent="0.25">
      <c r="A37">
        <v>180</v>
      </c>
    </row>
    <row r="38" spans="1:1" x14ac:dyDescent="0.25">
      <c r="A38">
        <v>169</v>
      </c>
    </row>
    <row r="39" spans="1:1" x14ac:dyDescent="0.25">
      <c r="A39">
        <v>162</v>
      </c>
    </row>
    <row r="40" spans="1:1" x14ac:dyDescent="0.25">
      <c r="A40">
        <v>178</v>
      </c>
    </row>
    <row r="41" spans="1:1" x14ac:dyDescent="0.25">
      <c r="A41">
        <v>173</v>
      </c>
    </row>
    <row r="42" spans="1:1" x14ac:dyDescent="0.25">
      <c r="A42">
        <v>173</v>
      </c>
    </row>
    <row r="43" spans="1:1" x14ac:dyDescent="0.25">
      <c r="A43">
        <v>171</v>
      </c>
    </row>
    <row r="44" spans="1:1" x14ac:dyDescent="0.25">
      <c r="A44">
        <v>171</v>
      </c>
    </row>
    <row r="45" spans="1:1" x14ac:dyDescent="0.25">
      <c r="A45">
        <v>170</v>
      </c>
    </row>
    <row r="46" spans="1:1" x14ac:dyDescent="0.25">
      <c r="A46">
        <v>160</v>
      </c>
    </row>
    <row r="47" spans="1:1" x14ac:dyDescent="0.25">
      <c r="A47">
        <v>167</v>
      </c>
    </row>
    <row r="48" spans="1:1" x14ac:dyDescent="0.25">
      <c r="A48">
        <v>168</v>
      </c>
    </row>
    <row r="49" spans="1:1" x14ac:dyDescent="0.25">
      <c r="A49">
        <v>166</v>
      </c>
    </row>
    <row r="50" spans="1:1" x14ac:dyDescent="0.25">
      <c r="A50">
        <v>164</v>
      </c>
    </row>
    <row r="51" spans="1:1" x14ac:dyDescent="0.25">
      <c r="A51">
        <v>174</v>
      </c>
    </row>
    <row r="52" spans="1:1" x14ac:dyDescent="0.25">
      <c r="A52">
        <v>180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안 태호</cp:lastModifiedBy>
  <dcterms:created xsi:type="dcterms:W3CDTF">2005-03-05T11:25:38Z</dcterms:created>
  <dcterms:modified xsi:type="dcterms:W3CDTF">2026-04-27T04:59:33Z</dcterms:modified>
</cp:coreProperties>
</file>