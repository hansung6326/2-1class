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시험공부\"/>
    </mc:Choice>
  </mc:AlternateContent>
  <xr:revisionPtr revIDLastSave="0" documentId="13_ncr:1_{9823E491-DDBA-4D3D-8958-80AE017E2095}" xr6:coauthVersionLast="47" xr6:coauthVersionMax="47" xr10:uidLastSave="{00000000-0000-0000-0000-000000000000}"/>
  <bookViews>
    <workbookView xWindow="-110" yWindow="-110" windowWidth="25820" windowHeight="15500" activeTab="7" xr2:uid="{5DC9FE0A-2AF4-4BC2-97F5-720BD7E17E2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definedNames>
    <definedName name="_xlchart.v1.0" hidden="1">Sheet3!$A$2:$A$101</definedName>
    <definedName name="_xlchart.v1.1" hidden="1">Sheet4!$A$1</definedName>
    <definedName name="_xlchart.v1.2" hidden="1">Sheet4!$A$2:$A$28</definedName>
    <definedName name="_xlchart.v1.3" hidden="1">Sheet4!$B$1</definedName>
    <definedName name="_xlchart.v1.4" hidden="1">Sheet4!$B$2:$B$28</definedName>
    <definedName name="_xlchart.v1.5" hidden="1">Sheet4!$L$1:$L$51</definedName>
    <definedName name="_xlchart.v1.6" hidden="1">Sheet4!$M$1:$M$51</definedName>
    <definedName name="_xlchart.v1.7" hidden="1">Sheet5!$A$1:$A$40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" i="5" l="1"/>
  <c r="J8" i="5"/>
  <c r="E8" i="2"/>
  <c r="E7" i="2"/>
  <c r="B4" i="8"/>
  <c r="G1" i="5"/>
  <c r="G8" i="5"/>
  <c r="B6" i="3"/>
  <c r="B2" i="3"/>
  <c r="B1" i="11"/>
  <c r="P24" i="10"/>
  <c r="P26" i="10"/>
  <c r="P25" i="10"/>
  <c r="P20" i="10"/>
  <c r="P22" i="10"/>
  <c r="P21" i="10"/>
  <c r="P18" i="10"/>
  <c r="L31" i="10"/>
  <c r="L26" i="10"/>
  <c r="L28" i="10"/>
  <c r="L27" i="10"/>
  <c r="L21" i="10"/>
  <c r="L23" i="10"/>
  <c r="L22" i="10"/>
  <c r="L18" i="10"/>
  <c r="H32" i="10"/>
  <c r="H31" i="10"/>
  <c r="H26" i="10"/>
  <c r="E37" i="10"/>
  <c r="E39" i="10"/>
  <c r="E38" i="10"/>
  <c r="E35" i="10"/>
  <c r="E31" i="10"/>
  <c r="E29" i="10"/>
  <c r="E25" i="10"/>
  <c r="E27" i="10"/>
  <c r="E26" i="10"/>
  <c r="E23" i="10"/>
  <c r="E19" i="10"/>
  <c r="E21" i="10"/>
  <c r="E20" i="10"/>
  <c r="E18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2" i="10"/>
  <c r="M22" i="9"/>
  <c r="M21" i="9"/>
  <c r="G22" i="9"/>
  <c r="G21" i="9"/>
  <c r="G19" i="9"/>
  <c r="B21" i="9"/>
  <c r="B19" i="9"/>
  <c r="C3" i="9"/>
  <c r="C4" i="9"/>
  <c r="C5" i="9"/>
  <c r="C6" i="9"/>
  <c r="C7" i="9"/>
  <c r="C8" i="9"/>
  <c r="C9" i="9"/>
  <c r="C10" i="9"/>
  <c r="C11" i="9"/>
  <c r="C2" i="9"/>
  <c r="P36" i="8"/>
  <c r="O36" i="8"/>
  <c r="P34" i="8"/>
  <c r="L33" i="8"/>
  <c r="H35" i="8"/>
  <c r="B37" i="8"/>
  <c r="B35" i="8"/>
  <c r="B36" i="8"/>
  <c r="P5" i="8"/>
  <c r="P6" i="8"/>
  <c r="P7" i="8"/>
  <c r="P8" i="8"/>
  <c r="P9" i="8"/>
  <c r="P10" i="8"/>
  <c r="P11" i="8"/>
  <c r="P12" i="8"/>
  <c r="P13" i="8"/>
  <c r="P14" i="8"/>
  <c r="P4" i="8"/>
  <c r="O5" i="8"/>
  <c r="O6" i="8"/>
  <c r="O7" i="8"/>
  <c r="O8" i="8"/>
  <c r="O9" i="8"/>
  <c r="O10" i="8"/>
  <c r="O11" i="8"/>
  <c r="O12" i="8"/>
  <c r="O13" i="8"/>
  <c r="O14" i="8"/>
  <c r="O4" i="8"/>
  <c r="N5" i="8"/>
  <c r="N6" i="8"/>
  <c r="N7" i="8"/>
  <c r="N8" i="8"/>
  <c r="N9" i="8"/>
  <c r="N10" i="8"/>
  <c r="N11" i="8"/>
  <c r="N12" i="8"/>
  <c r="N13" i="8"/>
  <c r="N14" i="8"/>
  <c r="N4" i="8"/>
  <c r="B15" i="8"/>
  <c r="B16" i="8"/>
  <c r="B17" i="8"/>
  <c r="B18" i="8"/>
  <c r="B19" i="8"/>
  <c r="B20" i="8"/>
  <c r="B21" i="8"/>
  <c r="B22" i="8"/>
  <c r="B23" i="8"/>
  <c r="B24" i="8"/>
  <c r="B14" i="8"/>
  <c r="B6" i="8"/>
  <c r="B5" i="8"/>
  <c r="F5" i="8"/>
  <c r="D5" i="8"/>
  <c r="I10" i="7"/>
  <c r="G3" i="7"/>
  <c r="G4" i="7"/>
  <c r="G2" i="7"/>
  <c r="F3" i="7"/>
  <c r="F4" i="7"/>
  <c r="F2" i="7"/>
  <c r="F21" i="6"/>
  <c r="T14" i="6"/>
  <c r="T3" i="6"/>
  <c r="T2" i="6"/>
  <c r="T1" i="6"/>
  <c r="F9" i="5"/>
  <c r="F8" i="5"/>
  <c r="F6" i="5"/>
  <c r="F4" i="5"/>
  <c r="F3" i="5"/>
  <c r="F2" i="5"/>
  <c r="F1" i="5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I9" i="3"/>
  <c r="C9" i="3"/>
  <c r="B9" i="3"/>
  <c r="I8" i="3"/>
  <c r="G12" i="3" s="1"/>
  <c r="C8" i="3"/>
  <c r="B8" i="3"/>
  <c r="G7" i="3"/>
  <c r="C7" i="3"/>
  <c r="B7" i="3"/>
  <c r="G6" i="3"/>
  <c r="C6" i="3"/>
  <c r="G5" i="3"/>
  <c r="C5" i="3"/>
  <c r="B5" i="3"/>
  <c r="C4" i="3"/>
  <c r="B4" i="3"/>
  <c r="C3" i="3"/>
  <c r="B3" i="3"/>
  <c r="C2" i="3"/>
  <c r="D8" i="2"/>
  <c r="D6" i="2"/>
  <c r="D7" i="2"/>
  <c r="E5" i="2"/>
  <c r="E4" i="2"/>
  <c r="E3" i="2"/>
  <c r="D5" i="2"/>
  <c r="D4" i="2"/>
  <c r="D3" i="2"/>
  <c r="D2" i="2"/>
  <c r="D1" i="2"/>
  <c r="F18" i="1"/>
  <c r="F19" i="1" s="1"/>
  <c r="F20" i="1" s="1"/>
  <c r="F21" i="1" s="1"/>
  <c r="F22" i="1" s="1"/>
  <c r="F23" i="1" s="1"/>
  <c r="F24" i="1" s="1"/>
  <c r="F25" i="1" s="1"/>
  <c r="F17" i="1"/>
  <c r="F16" i="1"/>
  <c r="E26" i="1"/>
  <c r="E17" i="1"/>
  <c r="E18" i="1"/>
  <c r="E19" i="1"/>
  <c r="E20" i="1"/>
  <c r="E21" i="1"/>
  <c r="E22" i="1"/>
  <c r="E23" i="1"/>
  <c r="E24" i="1"/>
  <c r="E25" i="1"/>
  <c r="E16" i="1"/>
  <c r="D25" i="1"/>
  <c r="D22" i="1"/>
  <c r="D24" i="1"/>
  <c r="D23" i="1"/>
  <c r="D18" i="1"/>
  <c r="D19" i="1"/>
  <c r="D20" i="1"/>
  <c r="D16" i="1"/>
  <c r="D17" i="1"/>
  <c r="D21" i="1"/>
  <c r="E11" i="1"/>
  <c r="E2" i="1"/>
  <c r="E3" i="1"/>
  <c r="E4" i="1"/>
  <c r="E5" i="1"/>
  <c r="E6" i="1"/>
  <c r="E7" i="1"/>
  <c r="E8" i="1"/>
  <c r="E9" i="1"/>
  <c r="E10" i="1"/>
  <c r="E1" i="1"/>
  <c r="D11" i="1"/>
  <c r="D10" i="1"/>
  <c r="D9" i="1"/>
  <c r="D8" i="1"/>
  <c r="D7" i="1"/>
  <c r="D6" i="1"/>
  <c r="D5" i="1"/>
  <c r="D4" i="1"/>
  <c r="D3" i="1"/>
  <c r="D2" i="1"/>
  <c r="D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<sst xmlns="http://schemas.openxmlformats.org/spreadsheetml/2006/main" count="306" uniqueCount="199">
  <si>
    <t>감영성 질환</t>
    <phoneticPr fontId="1" type="noConversion"/>
  </si>
  <si>
    <t>각종 암</t>
    <phoneticPr fontId="1" type="noConversion"/>
  </si>
  <si>
    <t>순환기 질환</t>
    <phoneticPr fontId="1" type="noConversion"/>
  </si>
  <si>
    <t>호흡기 질환</t>
    <phoneticPr fontId="1" type="noConversion"/>
  </si>
  <si>
    <t>소화기 질환</t>
    <phoneticPr fontId="1" type="noConversion"/>
  </si>
  <si>
    <t>각종 사고사</t>
    <phoneticPr fontId="1" type="noConversion"/>
  </si>
  <si>
    <t>비뇨기 질환</t>
    <phoneticPr fontId="1" type="noConversion"/>
  </si>
  <si>
    <t>정신병</t>
    <phoneticPr fontId="1" type="noConversion"/>
  </si>
  <si>
    <t>노환</t>
    <phoneticPr fontId="1" type="noConversion"/>
  </si>
  <si>
    <t>신경계 질환</t>
    <phoneticPr fontId="1" type="noConversion"/>
  </si>
  <si>
    <t>누적%</t>
    <phoneticPr fontId="1" type="noConversion"/>
  </si>
  <si>
    <t>bin</t>
    <phoneticPr fontId="1" type="noConversion"/>
  </si>
  <si>
    <t>중앙값</t>
    <phoneticPr fontId="1" type="noConversion"/>
  </si>
  <si>
    <t>30percentile</t>
    <phoneticPr fontId="1" type="noConversion"/>
  </si>
  <si>
    <t>사분위수(IQR)</t>
    <phoneticPr fontId="1" type="noConversion"/>
  </si>
  <si>
    <t>Q1</t>
    <phoneticPr fontId="1" type="noConversion"/>
  </si>
  <si>
    <t>Q3</t>
    <phoneticPr fontId="1" type="noConversion"/>
  </si>
  <si>
    <t>Quartile.INC</t>
    <phoneticPr fontId="1" type="noConversion"/>
  </si>
  <si>
    <t>변동계수</t>
    <phoneticPr fontId="1" type="noConversion"/>
  </si>
  <si>
    <t>평균</t>
    <phoneticPr fontId="1" type="noConversion"/>
  </si>
  <si>
    <t>표준편차</t>
    <phoneticPr fontId="1" type="noConversion"/>
  </si>
  <si>
    <t>음료수</t>
    <phoneticPr fontId="4" type="noConversion"/>
  </si>
  <si>
    <t>id</t>
    <phoneticPr fontId="4" type="noConversion"/>
  </si>
  <si>
    <t>실습 내역</t>
    <phoneticPr fontId="4" type="noConversion"/>
  </si>
  <si>
    <t>0. id 부여</t>
    <phoneticPr fontId="4" type="noConversion"/>
  </si>
  <si>
    <t>1~100</t>
    <phoneticPr fontId="4" type="noConversion"/>
  </si>
  <si>
    <t>1. 데이터 개수(COUNT)</t>
    <phoneticPr fontId="4" type="noConversion"/>
  </si>
  <si>
    <t>2. 총합(SUM)</t>
    <phoneticPr fontId="4" type="noConversion"/>
  </si>
  <si>
    <t>3. 평균(AVERAGE)</t>
    <phoneticPr fontId="4" type="noConversion"/>
  </si>
  <si>
    <t>4. 분산(VAR)</t>
    <phoneticPr fontId="4" type="noConversion"/>
  </si>
  <si>
    <t>VAR.P</t>
    <phoneticPr fontId="4" type="noConversion"/>
  </si>
  <si>
    <t>VAR.S</t>
    <phoneticPr fontId="4" type="noConversion"/>
  </si>
  <si>
    <t>VAR</t>
    <phoneticPr fontId="4" type="noConversion"/>
  </si>
  <si>
    <t>표준편차 = 루트(분산)</t>
    <phoneticPr fontId="4" type="noConversion"/>
  </si>
  <si>
    <t>5. SQRT</t>
    <phoneticPr fontId="4" type="noConversion"/>
  </si>
  <si>
    <t>6. IF</t>
    <phoneticPr fontId="4" type="noConversion"/>
  </si>
  <si>
    <t>100보다 크거나 같으면 "합격", 작으면 "불합격"</t>
    <phoneticPr fontId="4" type="noConversion"/>
  </si>
  <si>
    <t>7. RANK</t>
    <phoneticPr fontId="4" type="noConversion"/>
  </si>
  <si>
    <t>ref는 절대참조</t>
    <phoneticPr fontId="4" type="noConversion"/>
  </si>
  <si>
    <t>8. 기술통계</t>
    <phoneticPr fontId="4" type="noConversion"/>
  </si>
  <si>
    <t>이 칸에 출력</t>
    <phoneticPr fontId="4" type="noConversion"/>
  </si>
  <si>
    <t>남자</t>
    <phoneticPr fontId="1" type="noConversion"/>
  </si>
  <si>
    <t>여자</t>
    <phoneticPr fontId="1" type="noConversion"/>
  </si>
  <si>
    <t>outlier(이상치)</t>
    <phoneticPr fontId="1" type="noConversion"/>
  </si>
  <si>
    <t>96.1, 95.5</t>
    <phoneticPr fontId="1" type="noConversion"/>
  </si>
  <si>
    <t>IQR</t>
    <phoneticPr fontId="1" type="noConversion"/>
  </si>
  <si>
    <t>90percentile</t>
    <phoneticPr fontId="1" type="noConversion"/>
  </si>
  <si>
    <t>흡연자</t>
  </si>
  <si>
    <t>금연자I</t>
  </si>
  <si>
    <t>금연자II</t>
  </si>
  <si>
    <t>합계</t>
  </si>
  <si>
    <t>폐암</t>
  </si>
  <si>
    <t>정상</t>
  </si>
  <si>
    <t>회사</t>
  </si>
  <si>
    <t>광고비</t>
  </si>
  <si>
    <t>판매량</t>
  </si>
  <si>
    <t>키</t>
  </si>
  <si>
    <t>몸무게</t>
  </si>
  <si>
    <t>표본공분산</t>
    <phoneticPr fontId="1" type="noConversion"/>
  </si>
  <si>
    <t>모집공분산</t>
    <phoneticPr fontId="1" type="noConversion"/>
  </si>
  <si>
    <t>상관계수</t>
    <phoneticPr fontId="1" type="noConversion"/>
  </si>
  <si>
    <t>1에 가까울수록 얼마나 강력하게 비례하는지
-1에 가까울수록 강한 음의 상관관계
0이면 아무 상관 없이 따로 놈</t>
    <phoneticPr fontId="1" type="noConversion"/>
  </si>
  <si>
    <t>직종</t>
  </si>
  <si>
    <t>1979년</t>
  </si>
  <si>
    <t>1989년</t>
  </si>
  <si>
    <t>생산직</t>
  </si>
  <si>
    <t>자영업</t>
  </si>
  <si>
    <t>공무원</t>
  </si>
  <si>
    <r>
      <rPr>
        <b/>
        <sz val="11"/>
        <color rgb="FF0A0A0A"/>
        <rFont val="맑은 고딕"/>
        <family val="2"/>
        <charset val="129"/>
      </rPr>
      <t>생산직</t>
    </r>
    <r>
      <rPr>
        <b/>
        <sz val="11"/>
        <color rgb="FF0A0A0A"/>
        <rFont val="Arial"/>
        <family val="2"/>
      </rPr>
      <t xml:space="preserve"> </t>
    </r>
    <r>
      <rPr>
        <b/>
        <sz val="11"/>
        <color rgb="FF0A0A0A"/>
        <rFont val="맑은 고딕"/>
        <family val="2"/>
        <charset val="129"/>
      </rPr>
      <t>상대도수</t>
    </r>
    <phoneticPr fontId="1" type="noConversion"/>
  </si>
  <si>
    <t>자영업</t>
    <phoneticPr fontId="1" type="noConversion"/>
  </si>
  <si>
    <t>공무원</t>
    <phoneticPr fontId="1" type="noConversion"/>
  </si>
  <si>
    <r>
      <t>1979</t>
    </r>
    <r>
      <rPr>
        <b/>
        <sz val="11"/>
        <color rgb="FF0A0A0A"/>
        <rFont val="맑은 고딕"/>
        <family val="2"/>
        <charset val="129"/>
      </rPr>
      <t>년</t>
    </r>
    <phoneticPr fontId="1" type="noConversion"/>
  </si>
  <si>
    <r>
      <t>1989</t>
    </r>
    <r>
      <rPr>
        <b/>
        <sz val="11"/>
        <color rgb="FF0A0A0A"/>
        <rFont val="맑은 고딕"/>
        <family val="2"/>
        <charset val="129"/>
      </rPr>
      <t>년</t>
    </r>
    <phoneticPr fontId="1" type="noConversion"/>
  </si>
  <si>
    <t>(수학)</t>
  </si>
  <si>
    <t>(사회과학)</t>
  </si>
  <si>
    <r>
      <rPr>
        <b/>
        <sz val="11"/>
        <color rgb="FF0A0A0A"/>
        <rFont val="맑은 고딕"/>
        <family val="2"/>
        <charset val="129"/>
      </rPr>
      <t>상관계수</t>
    </r>
    <phoneticPr fontId="1" type="noConversion"/>
  </si>
  <si>
    <t>p</t>
    <phoneticPr fontId="1" type="noConversion"/>
  </si>
  <si>
    <t>n</t>
    <phoneticPr fontId="1" type="noConversion"/>
  </si>
  <si>
    <t>P(X&lt;=6)</t>
    <phoneticPr fontId="1" type="noConversion"/>
  </si>
  <si>
    <t>P(6&lt;=X&lt;=10)</t>
    <phoneticPr fontId="1" type="noConversion"/>
  </si>
  <si>
    <t>P(X&lt;=10)</t>
    <phoneticPr fontId="1" type="noConversion"/>
  </si>
  <si>
    <t>P(X&lt;=5)</t>
    <phoneticPr fontId="1" type="noConversion"/>
  </si>
  <si>
    <t>P(X&gt;=12)</t>
    <phoneticPr fontId="1" type="noConversion"/>
  </si>
  <si>
    <t>1 - P(X&lt;=11)</t>
    <phoneticPr fontId="1" type="noConversion"/>
  </si>
  <si>
    <t>P(X=n)</t>
    <phoneticPr fontId="1" type="noConversion"/>
  </si>
  <si>
    <t>x</t>
    <phoneticPr fontId="1" type="noConversion"/>
  </si>
  <si>
    <t>P(X=14)</t>
    <phoneticPr fontId="1" type="noConversion"/>
  </si>
  <si>
    <t>6명 이상이 5년 이내 죽는다</t>
    <phoneticPr fontId="1" type="noConversion"/>
  </si>
  <si>
    <t>P(9&lt;=X&lt;=13)</t>
    <phoneticPr fontId="1" type="noConversion"/>
  </si>
  <si>
    <t>N</t>
    <phoneticPr fontId="1" type="noConversion"/>
  </si>
  <si>
    <t>D</t>
    <phoneticPr fontId="1" type="noConversion"/>
  </si>
  <si>
    <t>P(X&gt;=1)</t>
    <phoneticPr fontId="1" type="noConversion"/>
  </si>
  <si>
    <t>m</t>
    <phoneticPr fontId="1" type="noConversion"/>
  </si>
  <si>
    <t>P(X=9)</t>
    <phoneticPr fontId="1" type="noConversion"/>
  </si>
  <si>
    <t>m=np</t>
    <phoneticPr fontId="1" type="noConversion"/>
  </si>
  <si>
    <t>X~B(200, 0.04)</t>
    <phoneticPr fontId="1" type="noConversion"/>
  </si>
  <si>
    <t>X~Poisson(8)</t>
    <phoneticPr fontId="1" type="noConversion"/>
  </si>
  <si>
    <t>P(X&lt;=13)</t>
    <phoneticPr fontId="1" type="noConversion"/>
  </si>
  <si>
    <t>적어도 17명이 내과를 찾았을 확률</t>
    <phoneticPr fontId="1" type="noConversion"/>
  </si>
  <si>
    <t>적어도 한 가구 이상의 고지서가 잘못되었을 확률</t>
    <phoneticPr fontId="1" type="noConversion"/>
  </si>
  <si>
    <t>여자 3명 이상이니 2명 이하를 구하고 1에서 뺌</t>
    <phoneticPr fontId="1" type="noConversion"/>
  </si>
  <si>
    <t xml:space="preserve">전체에서 몇 명을 뽑는가? </t>
    <phoneticPr fontId="1" type="noConversion"/>
  </si>
  <si>
    <t>전체 인원중에 내가 관심있는 대상(여자)이 몇 명인가</t>
    <phoneticPr fontId="1" type="noConversion"/>
  </si>
  <si>
    <t>총 몇 명인가</t>
    <phoneticPr fontId="1" type="noConversion"/>
  </si>
  <si>
    <t>E(x)</t>
    <phoneticPr fontId="1" type="noConversion"/>
  </si>
  <si>
    <t>f(x)</t>
    <phoneticPr fontId="1" type="noConversion"/>
  </si>
  <si>
    <t>p(X&lt;=x)=0.975</t>
    <phoneticPr fontId="1" type="noConversion"/>
  </si>
  <si>
    <t xml:space="preserve">x = </t>
    <phoneticPr fontId="1" type="noConversion"/>
  </si>
  <si>
    <t>p(0&lt;Z&lt;=1)</t>
    <phoneticPr fontId="1" type="noConversion"/>
  </si>
  <si>
    <t>p(Z&lt;=1)</t>
    <phoneticPr fontId="1" type="noConversion"/>
  </si>
  <si>
    <t>p(0&lt;Z)</t>
    <phoneticPr fontId="1" type="noConversion"/>
  </si>
  <si>
    <t>P(Z&lt;=1)</t>
    <phoneticPr fontId="1" type="noConversion"/>
  </si>
  <si>
    <t>P(-2&lt;Z&lt;=2)</t>
    <phoneticPr fontId="1" type="noConversion"/>
  </si>
  <si>
    <t>P(-2&lt;Z)</t>
    <phoneticPr fontId="1" type="noConversion"/>
  </si>
  <si>
    <t>P(Z&lt;=2)</t>
    <phoneticPr fontId="1" type="noConversion"/>
  </si>
  <si>
    <t>P(Z&gt;2)</t>
    <phoneticPr fontId="1" type="noConversion"/>
  </si>
  <si>
    <t>X~N(20,25)</t>
    <phoneticPr fontId="1" type="noConversion"/>
  </si>
  <si>
    <t>X~N(평균,분산)</t>
    <phoneticPr fontId="1" type="noConversion"/>
  </si>
  <si>
    <t>P(X&gt;30)</t>
    <phoneticPr fontId="1" type="noConversion"/>
  </si>
  <si>
    <t>P(10&lt;X&lt;=25)</t>
    <phoneticPr fontId="1" type="noConversion"/>
  </si>
  <si>
    <t>P(X&lt;=25)</t>
    <phoneticPr fontId="1" type="noConversion"/>
  </si>
  <si>
    <t>P(10&lt;X)</t>
    <phoneticPr fontId="1" type="noConversion"/>
  </si>
  <si>
    <t>p(Z&lt;x)=0.6</t>
    <phoneticPr fontId="1" type="noConversion"/>
  </si>
  <si>
    <t>p(-x&lt;Z&lt;x)=0.9</t>
    <phoneticPr fontId="1" type="noConversion"/>
  </si>
  <si>
    <t>p(Z&lt;x)=0.95</t>
    <phoneticPr fontId="1" type="noConversion"/>
  </si>
  <si>
    <t>&gt;&gt;</t>
    <phoneticPr fontId="1" type="noConversion"/>
  </si>
  <si>
    <t>p(-x&lt;Z) = 0.05</t>
    <phoneticPr fontId="1" type="noConversion"/>
  </si>
  <si>
    <t>x=</t>
    <phoneticPr fontId="1" type="noConversion"/>
  </si>
  <si>
    <t xml:space="preserve">(-)x = </t>
    <phoneticPr fontId="1" type="noConversion"/>
  </si>
  <si>
    <t>p(X&lt;z)=0.2643</t>
    <phoneticPr fontId="1" type="noConversion"/>
  </si>
  <si>
    <t>z=</t>
    <phoneticPr fontId="1" type="noConversion"/>
  </si>
  <si>
    <t>p(-1&lt;X&lt;z)=0.756</t>
    <phoneticPr fontId="1" type="noConversion"/>
  </si>
  <si>
    <t>p(-1&lt;X)</t>
    <phoneticPr fontId="1" type="noConversion"/>
  </si>
  <si>
    <t>p(X&lt;z)</t>
    <phoneticPr fontId="1" type="noConversion"/>
  </si>
  <si>
    <t>p(0&lt;X&lt;z)=0.35</t>
    <phoneticPr fontId="1" type="noConversion"/>
  </si>
  <si>
    <t>p(0&lt;X)</t>
    <phoneticPr fontId="1" type="noConversion"/>
  </si>
  <si>
    <t>p(X&gt;z)=0.2</t>
    <phoneticPr fontId="1" type="noConversion"/>
  </si>
  <si>
    <t>p(X&lt;z)=0.8</t>
    <phoneticPr fontId="1" type="noConversion"/>
  </si>
  <si>
    <t>X~N(17, 9)</t>
    <phoneticPr fontId="1" type="noConversion"/>
  </si>
  <si>
    <t>22분 이상이 소요될 확률</t>
    <phoneticPr fontId="1" type="noConversion"/>
  </si>
  <si>
    <t>13분 ~ 21분 사이</t>
    <phoneticPr fontId="1" type="noConversion"/>
  </si>
  <si>
    <t>p(x&lt;13)</t>
    <phoneticPr fontId="1" type="noConversion"/>
  </si>
  <si>
    <t>p(x&lt;21)</t>
    <phoneticPr fontId="1" type="noConversion"/>
  </si>
  <si>
    <t>15.5분 ~ 18.5분 사이</t>
    <phoneticPr fontId="1" type="noConversion"/>
  </si>
  <si>
    <t>p(x&lt;15.5)</t>
    <phoneticPr fontId="1" type="noConversion"/>
  </si>
  <si>
    <t>p(x&lt;18.5)</t>
    <phoneticPr fontId="1" type="noConversion"/>
  </si>
  <si>
    <t>도착확률이 가장 높은 1분의 구간</t>
    <phoneticPr fontId="1" type="noConversion"/>
  </si>
  <si>
    <t>평균이 17이고 17이 가장 높으므로 그 중심을 기준으로 -0.5 ~ 0.5</t>
    <phoneticPr fontId="1" type="noConversion"/>
  </si>
  <si>
    <t>16.5분 ~ 17.5분이 가장 높음</t>
    <phoneticPr fontId="1" type="noConversion"/>
  </si>
  <si>
    <t>IF</t>
    <phoneticPr fontId="1" type="noConversion"/>
  </si>
  <si>
    <t>AVERAGE</t>
    <phoneticPr fontId="1" type="noConversion"/>
  </si>
  <si>
    <t>MEDIAN</t>
    <phoneticPr fontId="1" type="noConversion"/>
  </si>
  <si>
    <t>MAX</t>
    <phoneticPr fontId="1" type="noConversion"/>
  </si>
  <si>
    <t>MIN</t>
    <phoneticPr fontId="1" type="noConversion"/>
  </si>
  <si>
    <t>CORREL</t>
    <phoneticPr fontId="1" type="noConversion"/>
  </si>
  <si>
    <t>COUNT</t>
    <phoneticPr fontId="1" type="noConversion"/>
  </si>
  <si>
    <t>COUNTIF</t>
    <phoneticPr fontId="1" type="noConversion"/>
  </si>
  <si>
    <t>COUNTIF(범위, 무엇을)</t>
    <phoneticPr fontId="1" type="noConversion"/>
  </si>
  <si>
    <t>COUNT(범위)</t>
    <phoneticPr fontId="1" type="noConversion"/>
  </si>
  <si>
    <t>FREQUENCY</t>
    <phoneticPr fontId="1" type="noConversion"/>
  </si>
  <si>
    <t>FREQUENCY(데이터범위, 계급범위)</t>
    <phoneticPr fontId="1" type="noConversion"/>
  </si>
  <si>
    <t>AVERAGE(시작셀:끝셀)</t>
    <phoneticPr fontId="1" type="noConversion"/>
  </si>
  <si>
    <t>MEDIAN(시작셀:끝셀)</t>
    <phoneticPr fontId="1" type="noConversion"/>
  </si>
  <si>
    <t>REPT</t>
    <phoneticPr fontId="1" type="noConversion"/>
  </si>
  <si>
    <t>REPT("0", COUNTIF(데이터범위(절대참조), 숫자))&amp;REPT…</t>
    <phoneticPr fontId="1" type="noConversion"/>
  </si>
  <si>
    <t>MODE</t>
    <phoneticPr fontId="1" type="noConversion"/>
  </si>
  <si>
    <t>최빈값구하기</t>
    <phoneticPr fontId="1" type="noConversion"/>
  </si>
  <si>
    <t>PERCENTILE</t>
    <phoneticPr fontId="1" type="noConversion"/>
  </si>
  <si>
    <t>QUARTILE</t>
    <phoneticPr fontId="1" type="noConversion"/>
  </si>
  <si>
    <t>PERCENTILE(범위, np)</t>
    <phoneticPr fontId="1" type="noConversion"/>
  </si>
  <si>
    <t>QUARTILE(범위, 1(0.25))</t>
    <phoneticPr fontId="1" type="noConversion"/>
  </si>
  <si>
    <t>RANK.EQ</t>
    <phoneticPr fontId="1" type="noConversion"/>
  </si>
  <si>
    <t>순위 매기기RANK(숫자, 범위, 1)</t>
    <phoneticPr fontId="1" type="noConversion"/>
  </si>
  <si>
    <t>VAR.S</t>
    <phoneticPr fontId="1" type="noConversion"/>
  </si>
  <si>
    <t>VAR.S(범위)</t>
    <phoneticPr fontId="1" type="noConversion"/>
  </si>
  <si>
    <t>STDEV.S</t>
    <phoneticPr fontId="1" type="noConversion"/>
  </si>
  <si>
    <t>STDEF.S(범위)</t>
    <phoneticPr fontId="1" type="noConversion"/>
  </si>
  <si>
    <t>MAX(범위)</t>
    <phoneticPr fontId="1" type="noConversion"/>
  </si>
  <si>
    <t>MIN(범위)</t>
    <phoneticPr fontId="1" type="noConversion"/>
  </si>
  <si>
    <t>상관계수 구하기 CORREL(범위1, 범위2)</t>
    <phoneticPr fontId="1" type="noConversion"/>
  </si>
  <si>
    <t>COVARIANCE.S</t>
    <phoneticPr fontId="1" type="noConversion"/>
  </si>
  <si>
    <t>표본공분산 COVARIANCE.S(범위1, 범위2) 일반적인 샘플 분석용</t>
    <phoneticPr fontId="1" type="noConversion"/>
  </si>
  <si>
    <t>COVARIANCE.P</t>
    <phoneticPr fontId="1" type="noConversion"/>
  </si>
  <si>
    <t>모 공분산 COVARIANCE.P(범위1, 범위2) 데이터 전체 분석용</t>
    <phoneticPr fontId="1" type="noConversion"/>
  </si>
  <si>
    <t>이항분포의 확률</t>
    <phoneticPr fontId="1" type="noConversion"/>
  </si>
  <si>
    <t>BINOM.DIST</t>
    <phoneticPr fontId="1" type="noConversion"/>
  </si>
  <si>
    <t>이항분포의 확률 BINOM.DIST(성공횟수, 시행횟수, 성공확률, 누적여부)</t>
    <phoneticPr fontId="1" type="noConversion"/>
  </si>
  <si>
    <t>HYPGEOM.DIST</t>
    <phoneticPr fontId="1" type="noConversion"/>
  </si>
  <si>
    <t>초기하분포(비복원추출)HYPGEOM.DIST(표본성공수, 표본크기, 모집단성공수, 모집단크기, 누적여부)</t>
    <phoneticPr fontId="1" type="noConversion"/>
  </si>
  <si>
    <t>POISSON.DIST</t>
    <phoneticPr fontId="1" type="noConversion"/>
  </si>
  <si>
    <t>포아송분포(특정시간이나 공간에서 사건이 발생할 확률)POISSON.DIST(사건발생횟수, 평균, 누적여부)</t>
    <phoneticPr fontId="1" type="noConversion"/>
  </si>
  <si>
    <t>차이는 매우 미세하다 즉 이항분포와 포아송분포가 근사하다는 것을 알 수 있다</t>
    <phoneticPr fontId="1" type="noConversion"/>
  </si>
  <si>
    <t>NORM.DIST</t>
    <phoneticPr fontId="1" type="noConversion"/>
  </si>
  <si>
    <t>정규분포의 확률값, X~N(평균, 분산) NORM.DIST(x, 평균, 표준편차, 누적여부)</t>
    <phoneticPr fontId="1" type="noConversion"/>
  </si>
  <si>
    <t>NORM.INV</t>
    <phoneticPr fontId="1" type="noConversion"/>
  </si>
  <si>
    <t>확률을 알고있을 때 거꾸로 그 지점을 찾아냄 NORM.INV(확률, 평균, 표준편차)</t>
    <phoneticPr fontId="1" type="noConversion"/>
  </si>
  <si>
    <t>표준정규분포</t>
    <phoneticPr fontId="1" type="noConversion"/>
  </si>
  <si>
    <t>NORM(x, 0 , 1, 0) 평균0 표준편차1 고정</t>
    <phoneticPr fontId="1" type="noConversion"/>
  </si>
  <si>
    <t>분산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</si>
</sst>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000"/>
    <numFmt numFmtId="177" formatCode="0.0000"/>
    <numFmt numFmtId="178" formatCode="0.00_ 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0A0A0A"/>
      <name val="Arial"/>
      <family val="2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8"/>
      <name val="Arial"/>
      <family val="2"/>
    </font>
    <font>
      <sz val="20"/>
      <color rgb="FF000000"/>
      <name val="굴림"/>
      <family val="3"/>
      <charset val="129"/>
    </font>
    <font>
      <sz val="24"/>
      <color rgb="FF000000"/>
      <name val="맑은 고딕"/>
      <family val="3"/>
      <charset val="129"/>
    </font>
    <font>
      <sz val="24"/>
      <color rgb="FF000000"/>
      <name val="굴림"/>
      <family val="3"/>
      <charset val="129"/>
    </font>
    <font>
      <b/>
      <sz val="11"/>
      <color rgb="FF0A0A0A"/>
      <name val="Arial"/>
      <family val="2"/>
    </font>
    <font>
      <sz val="11"/>
      <color rgb="FF0A0A0A"/>
      <name val="Arial"/>
      <family val="2"/>
    </font>
    <font>
      <sz val="11"/>
      <color rgb="FF0A0A0A"/>
      <name val="Arial"/>
      <family val="2"/>
    </font>
    <font>
      <b/>
      <sz val="11"/>
      <color rgb="FF0A0A0A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FAF1"/>
        <bgColor indexed="64"/>
      </patternFill>
    </fill>
  </fills>
  <borders count="13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5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6" fillId="0" borderId="4" xfId="0" applyFont="1" applyBorder="1" applyAlignment="1">
      <alignment horizontal="left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left" vertical="center" wrapText="1" readingOrder="1"/>
    </xf>
    <xf numFmtId="0" fontId="6" fillId="0" borderId="8" xfId="0" applyFont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top" wrapText="1" readingOrder="1"/>
    </xf>
    <xf numFmtId="0" fontId="8" fillId="3" borderId="10" xfId="0" applyFont="1" applyFill="1" applyBorder="1" applyAlignment="1">
      <alignment horizontal="center" vertical="top" wrapText="1" readingOrder="1"/>
    </xf>
    <xf numFmtId="0" fontId="0" fillId="0" borderId="0" xfId="0" applyAlignment="1">
      <alignment vertical="center" wrapText="1"/>
    </xf>
    <xf numFmtId="0" fontId="9" fillId="2" borderId="11" xfId="0" applyFont="1" applyFill="1" applyBorder="1" applyAlignment="1">
      <alignment horizontal="left" vertical="top" wrapText="1"/>
    </xf>
    <xf numFmtId="0" fontId="10" fillId="2" borderId="11" xfId="0" applyFont="1" applyFill="1" applyBorder="1" applyAlignment="1">
      <alignment vertical="top" wrapText="1"/>
    </xf>
    <xf numFmtId="0" fontId="11" fillId="2" borderId="11" xfId="0" applyFont="1" applyFill="1" applyBorder="1" applyAlignment="1">
      <alignment vertical="top" wrapText="1"/>
    </xf>
    <xf numFmtId="0" fontId="9" fillId="2" borderId="12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center" wrapText="1" readingOrder="1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2">
    <cellStyle name="표준" xfId="0" builtinId="0"/>
    <cellStyle name="표준 2" xfId="1" xr:uid="{C49ADE0C-A89B-433F-94EA-68B48AAB2C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Sheet1!$C$1:$C$10</c:f>
              <c:strCache>
                <c:ptCount val="10"/>
                <c:pt idx="0">
                  <c:v>감영성 질환</c:v>
                </c:pt>
                <c:pt idx="1">
                  <c:v>각종 암</c:v>
                </c:pt>
                <c:pt idx="2">
                  <c:v>순환기 질환</c:v>
                </c:pt>
                <c:pt idx="3">
                  <c:v>호흡기 질환</c:v>
                </c:pt>
                <c:pt idx="4">
                  <c:v>소화기 질환</c:v>
                </c:pt>
                <c:pt idx="5">
                  <c:v>각종 사고사</c:v>
                </c:pt>
                <c:pt idx="6">
                  <c:v>비뇨기 질환</c:v>
                </c:pt>
                <c:pt idx="7">
                  <c:v>정신병</c:v>
                </c:pt>
                <c:pt idx="8">
                  <c:v>노환</c:v>
                </c:pt>
                <c:pt idx="9">
                  <c:v>신경계 질환</c:v>
                </c:pt>
              </c:strCache>
            </c:strRef>
          </c:cat>
          <c:val>
            <c:numRef>
              <c:f>Sheet1!$D$1:$D$10</c:f>
              <c:numCache>
                <c:formatCode>General</c:formatCode>
                <c:ptCount val="10"/>
                <c:pt idx="0">
                  <c:v>4</c:v>
                </c:pt>
                <c:pt idx="1">
                  <c:v>33</c:v>
                </c:pt>
                <c:pt idx="2">
                  <c:v>48</c:v>
                </c:pt>
                <c:pt idx="3">
                  <c:v>7</c:v>
                </c:pt>
                <c:pt idx="4">
                  <c:v>11</c:v>
                </c:pt>
                <c:pt idx="5">
                  <c:v>22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D-44CA-BF2A-F255F90C8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2182016"/>
        <c:axId val="1872185856"/>
      </c:barChart>
      <c:catAx>
        <c:axId val="187218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2185856"/>
        <c:crosses val="autoZero"/>
        <c:auto val="1"/>
        <c:lblAlgn val="ctr"/>
        <c:lblOffset val="100"/>
        <c:noMultiLvlLbl val="0"/>
      </c:catAx>
      <c:valAx>
        <c:axId val="187218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218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7F2-439B-B4AF-706AE0D7E2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7F2-439B-B4AF-706AE0D7E2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7F2-439B-B4AF-706AE0D7E28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7F2-439B-B4AF-706AE0D7E28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7F2-439B-B4AF-706AE0D7E28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7F2-439B-B4AF-706AE0D7E28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7F2-439B-B4AF-706AE0D7E28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7F2-439B-B4AF-706AE0D7E28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7F2-439B-B4AF-706AE0D7E28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7F2-439B-B4AF-706AE0D7E2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Sheet1!$C$1:$C$10</c:f>
              <c:strCache>
                <c:ptCount val="10"/>
                <c:pt idx="0">
                  <c:v>감영성 질환</c:v>
                </c:pt>
                <c:pt idx="1">
                  <c:v>각종 암</c:v>
                </c:pt>
                <c:pt idx="2">
                  <c:v>순환기 질환</c:v>
                </c:pt>
                <c:pt idx="3">
                  <c:v>호흡기 질환</c:v>
                </c:pt>
                <c:pt idx="4">
                  <c:v>소화기 질환</c:v>
                </c:pt>
                <c:pt idx="5">
                  <c:v>각종 사고사</c:v>
                </c:pt>
                <c:pt idx="6">
                  <c:v>비뇨기 질환</c:v>
                </c:pt>
                <c:pt idx="7">
                  <c:v>정신병</c:v>
                </c:pt>
                <c:pt idx="8">
                  <c:v>노환</c:v>
                </c:pt>
                <c:pt idx="9">
                  <c:v>신경계 질환</c:v>
                </c:pt>
              </c:strCache>
            </c:strRef>
          </c:cat>
          <c:val>
            <c:numRef>
              <c:f>Sheet1!$D$1:$D$10</c:f>
              <c:numCache>
                <c:formatCode>General</c:formatCode>
                <c:ptCount val="10"/>
                <c:pt idx="0">
                  <c:v>4</c:v>
                </c:pt>
                <c:pt idx="1">
                  <c:v>33</c:v>
                </c:pt>
                <c:pt idx="2">
                  <c:v>48</c:v>
                </c:pt>
                <c:pt idx="3">
                  <c:v>7</c:v>
                </c:pt>
                <c:pt idx="4">
                  <c:v>11</c:v>
                </c:pt>
                <c:pt idx="5">
                  <c:v>22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0-42C1-B357-68EA594C34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파레토</a:t>
            </a:r>
            <a:r>
              <a:rPr lang="ko-KR" altLang="en-US" baseline="0"/>
              <a:t> 그림</a:t>
            </a:r>
            <a:endParaRPr lang="en-US" altLang="ko-KR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Sheet1!$D$15</c:f>
              <c:strCache>
                <c:ptCount val="1"/>
                <c:pt idx="0">
                  <c:v>bin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Sheet1!$C$16:$C$25</c:f>
              <c:strCache>
                <c:ptCount val="10"/>
                <c:pt idx="0">
                  <c:v>순환기 질환</c:v>
                </c:pt>
                <c:pt idx="1">
                  <c:v>각종 암</c:v>
                </c:pt>
                <c:pt idx="2">
                  <c:v>각종 사고사</c:v>
                </c:pt>
                <c:pt idx="3">
                  <c:v>소화기 질환</c:v>
                </c:pt>
                <c:pt idx="4">
                  <c:v>호흡기 질환</c:v>
                </c:pt>
                <c:pt idx="5">
                  <c:v>감영성 질환</c:v>
                </c:pt>
                <c:pt idx="6">
                  <c:v>노환</c:v>
                </c:pt>
                <c:pt idx="7">
                  <c:v>비뇨기 질환</c:v>
                </c:pt>
                <c:pt idx="8">
                  <c:v>정신병</c:v>
                </c:pt>
                <c:pt idx="9">
                  <c:v>신경계 질환</c:v>
                </c:pt>
              </c:strCache>
            </c:strRef>
          </c:cat>
          <c:val>
            <c:numRef>
              <c:f>Sheet1!$D$16:$D$25</c:f>
              <c:numCache>
                <c:formatCode>General</c:formatCode>
                <c:ptCount val="10"/>
                <c:pt idx="0">
                  <c:v>48</c:v>
                </c:pt>
                <c:pt idx="1">
                  <c:v>33</c:v>
                </c:pt>
                <c:pt idx="2">
                  <c:v>22</c:v>
                </c:pt>
                <c:pt idx="3">
                  <c:v>11</c:v>
                </c:pt>
                <c:pt idx="4">
                  <c:v>7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6-4758-9EC4-5DC2CB15F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72153216"/>
        <c:axId val="1872155136"/>
      </c:barChart>
      <c:lineChart>
        <c:grouping val="standard"/>
        <c:varyColors val="0"/>
        <c:ser>
          <c:idx val="1"/>
          <c:order val="1"/>
          <c:tx>
            <c:strRef>
              <c:f>Sheet1!$F$15</c:f>
              <c:strCache>
                <c:ptCount val="1"/>
                <c:pt idx="0">
                  <c:v>누적%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Sheet1!$F$16:$F$25</c:f>
              <c:numCache>
                <c:formatCode>General</c:formatCode>
                <c:ptCount val="10"/>
                <c:pt idx="0">
                  <c:v>0.36923076923076925</c:v>
                </c:pt>
                <c:pt idx="1">
                  <c:v>0.62307692307692308</c:v>
                </c:pt>
                <c:pt idx="2">
                  <c:v>0.79230769230769238</c:v>
                </c:pt>
                <c:pt idx="3">
                  <c:v>0.87692307692307703</c:v>
                </c:pt>
                <c:pt idx="4">
                  <c:v>0.9307692307692309</c:v>
                </c:pt>
                <c:pt idx="5">
                  <c:v>0.96153846153846168</c:v>
                </c:pt>
                <c:pt idx="6">
                  <c:v>0.97692307692307701</c:v>
                </c:pt>
                <c:pt idx="7">
                  <c:v>0.98461538461538467</c:v>
                </c:pt>
                <c:pt idx="8">
                  <c:v>0.99230769230769234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F6-4758-9EC4-5DC2CB15F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153856"/>
        <c:axId val="415134176"/>
      </c:lineChart>
      <c:catAx>
        <c:axId val="187215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2155136"/>
        <c:crosses val="autoZero"/>
        <c:auto val="1"/>
        <c:lblAlgn val="ctr"/>
        <c:lblOffset val="100"/>
        <c:noMultiLvlLbl val="0"/>
      </c:catAx>
      <c:valAx>
        <c:axId val="187215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2153216"/>
        <c:crosses val="autoZero"/>
        <c:crossBetween val="between"/>
      </c:valAx>
      <c:valAx>
        <c:axId val="4151341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153856"/>
        <c:crosses val="max"/>
        <c:crossBetween val="between"/>
      </c:valAx>
      <c:catAx>
        <c:axId val="415153856"/>
        <c:scaling>
          <c:orientation val="minMax"/>
        </c:scaling>
        <c:delete val="1"/>
        <c:axPos val="t"/>
        <c:majorTickMark val="out"/>
        <c:minorTickMark val="none"/>
        <c:tickLblPos val="nextTo"/>
        <c:crossAx val="41513417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폐암자료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Sheet6!$A$2</c:f>
              <c:strCache>
                <c:ptCount val="1"/>
                <c:pt idx="0">
                  <c:v>폐암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Sheet6!$B$1:$D$1</c:f>
              <c:strCache>
                <c:ptCount val="3"/>
                <c:pt idx="0">
                  <c:v>흡연자</c:v>
                </c:pt>
                <c:pt idx="1">
                  <c:v>금연자I</c:v>
                </c:pt>
                <c:pt idx="2">
                  <c:v>금연자II</c:v>
                </c:pt>
              </c:strCache>
            </c:strRef>
          </c:cat>
          <c:val>
            <c:numRef>
              <c:f>Sheet6!$B$2:$D$2</c:f>
              <c:numCache>
                <c:formatCode>General</c:formatCode>
                <c:ptCount val="3"/>
                <c:pt idx="0">
                  <c:v>81</c:v>
                </c:pt>
                <c:pt idx="1">
                  <c:v>63</c:v>
                </c:pt>
                <c:pt idx="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3-4C06-83A1-ADDCD2596D37}"/>
            </c:ext>
          </c:extLst>
        </c:ser>
        <c:ser>
          <c:idx val="1"/>
          <c:order val="1"/>
          <c:tx>
            <c:strRef>
              <c:f>Sheet6!$A$3</c:f>
              <c:strCache>
                <c:ptCount val="1"/>
                <c:pt idx="0">
                  <c:v>정상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Sheet6!$B$1:$D$1</c:f>
              <c:strCache>
                <c:ptCount val="3"/>
                <c:pt idx="0">
                  <c:v>흡연자</c:v>
                </c:pt>
                <c:pt idx="1">
                  <c:v>금연자I</c:v>
                </c:pt>
                <c:pt idx="2">
                  <c:v>금연자II</c:v>
                </c:pt>
              </c:strCache>
            </c:strRef>
          </c:cat>
          <c:val>
            <c:numRef>
              <c:f>Sheet6!$B$3:$D$3</c:f>
              <c:numCache>
                <c:formatCode>General</c:formatCode>
                <c:ptCount val="3"/>
                <c:pt idx="0">
                  <c:v>49</c:v>
                </c:pt>
                <c:pt idx="1">
                  <c:v>57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53-4C06-83A1-ADDCD2596D3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72134688"/>
        <c:axId val="1972138048"/>
      </c:barChart>
      <c:catAx>
        <c:axId val="1972134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흡연여부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138048"/>
        <c:crosses val="autoZero"/>
        <c:auto val="1"/>
        <c:lblAlgn val="ctr"/>
        <c:lblOffset val="100"/>
        <c:noMultiLvlLbl val="0"/>
      </c:catAx>
      <c:valAx>
        <c:axId val="197213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폐암발생여부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13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광고비와 판매량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Sheet6!$C$14</c:f>
              <c:strCache>
                <c:ptCount val="1"/>
                <c:pt idx="0">
                  <c:v>판매량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Sheet6!$B$15:$B$24</c:f>
              <c:numCache>
                <c:formatCode>General</c:formatCode>
                <c:ptCount val="10"/>
                <c:pt idx="0">
                  <c:v>1</c:v>
                </c:pt>
                <c:pt idx="1">
                  <c:v>1.6</c:v>
                </c:pt>
                <c:pt idx="2">
                  <c:v>2.5</c:v>
                </c:pt>
                <c:pt idx="3">
                  <c:v>3</c:v>
                </c:pt>
                <c:pt idx="4">
                  <c:v>4</c:v>
                </c:pt>
                <c:pt idx="5">
                  <c:v>4.5999999999999996</c:v>
                </c:pt>
                <c:pt idx="6">
                  <c:v>5</c:v>
                </c:pt>
                <c:pt idx="7">
                  <c:v>5.7</c:v>
                </c:pt>
                <c:pt idx="8">
                  <c:v>6</c:v>
                </c:pt>
                <c:pt idx="9">
                  <c:v>7</c:v>
                </c:pt>
              </c:numCache>
            </c:numRef>
          </c:xVal>
          <c:yVal>
            <c:numRef>
              <c:f>Sheet6!$C$15:$C$24</c:f>
              <c:numCache>
                <c:formatCode>General</c:formatCode>
                <c:ptCount val="10"/>
                <c:pt idx="0">
                  <c:v>2.5</c:v>
                </c:pt>
                <c:pt idx="1">
                  <c:v>2.6</c:v>
                </c:pt>
                <c:pt idx="2">
                  <c:v>2.7</c:v>
                </c:pt>
                <c:pt idx="3">
                  <c:v>5</c:v>
                </c:pt>
                <c:pt idx="4">
                  <c:v>5.3</c:v>
                </c:pt>
                <c:pt idx="5">
                  <c:v>9.1</c:v>
                </c:pt>
                <c:pt idx="6">
                  <c:v>14.8</c:v>
                </c:pt>
                <c:pt idx="7">
                  <c:v>17.5</c:v>
                </c:pt>
                <c:pt idx="8">
                  <c:v>23</c:v>
                </c:pt>
                <c:pt idx="9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89-4DA7-AFBE-3CD3E2BE4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155808"/>
        <c:axId val="1972146688"/>
      </c:scatterChart>
      <c:valAx>
        <c:axId val="1972155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광고비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146688"/>
        <c:crosses val="autoZero"/>
        <c:crossBetween val="midCat"/>
      </c:valAx>
      <c:valAx>
        <c:axId val="197214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판매량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155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키와 몸무게의 산점도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Sheet6!$Q$14</c:f>
              <c:strCache>
                <c:ptCount val="1"/>
                <c:pt idx="0">
                  <c:v>몸무게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Sheet6!$P$15:$P$24</c:f>
              <c:numCache>
                <c:formatCode>General</c:formatCode>
                <c:ptCount val="10"/>
                <c:pt idx="0">
                  <c:v>169.6</c:v>
                </c:pt>
                <c:pt idx="1">
                  <c:v>166.8</c:v>
                </c:pt>
                <c:pt idx="2">
                  <c:v>157.1</c:v>
                </c:pt>
                <c:pt idx="3">
                  <c:v>181.1</c:v>
                </c:pt>
                <c:pt idx="4">
                  <c:v>158.4</c:v>
                </c:pt>
                <c:pt idx="5">
                  <c:v>165.6</c:v>
                </c:pt>
                <c:pt idx="6">
                  <c:v>166.7</c:v>
                </c:pt>
                <c:pt idx="7">
                  <c:v>156.5</c:v>
                </c:pt>
                <c:pt idx="8">
                  <c:v>168.1</c:v>
                </c:pt>
                <c:pt idx="9">
                  <c:v>165.3</c:v>
                </c:pt>
              </c:numCache>
            </c:numRef>
          </c:xVal>
          <c:yVal>
            <c:numRef>
              <c:f>Sheet6!$Q$15:$Q$24</c:f>
              <c:numCache>
                <c:formatCode>General</c:formatCode>
                <c:ptCount val="10"/>
                <c:pt idx="0">
                  <c:v>62.2</c:v>
                </c:pt>
                <c:pt idx="1">
                  <c:v>58.2</c:v>
                </c:pt>
                <c:pt idx="2">
                  <c:v>56</c:v>
                </c:pt>
                <c:pt idx="3">
                  <c:v>64.5</c:v>
                </c:pt>
                <c:pt idx="4">
                  <c:v>53</c:v>
                </c:pt>
                <c:pt idx="5">
                  <c:v>52.4</c:v>
                </c:pt>
                <c:pt idx="6">
                  <c:v>56.8</c:v>
                </c:pt>
                <c:pt idx="7">
                  <c:v>49.2</c:v>
                </c:pt>
                <c:pt idx="8">
                  <c:v>55.6</c:v>
                </c:pt>
                <c:pt idx="9">
                  <c:v>60.8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F-4361-8264-4C5104DF3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180768"/>
        <c:axId val="1972181248"/>
      </c:scatterChart>
      <c:valAx>
        <c:axId val="197218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키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181248"/>
        <c:crosses val="autoZero"/>
        <c:crossBetween val="midCat"/>
      </c:valAx>
      <c:valAx>
        <c:axId val="1972181248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몸무게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18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수학과 사회과학 성적의 관계 산점도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Sheet7!$B$10</c:f>
              <c:strCache>
                <c:ptCount val="1"/>
                <c:pt idx="0">
                  <c:v>(사회과학)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Sheet7!$A$11:$A$46</c:f>
              <c:numCache>
                <c:formatCode>General</c:formatCode>
                <c:ptCount val="36"/>
                <c:pt idx="0">
                  <c:v>41</c:v>
                </c:pt>
                <c:pt idx="1">
                  <c:v>39</c:v>
                </c:pt>
                <c:pt idx="2">
                  <c:v>53</c:v>
                </c:pt>
                <c:pt idx="3">
                  <c:v>67</c:v>
                </c:pt>
                <c:pt idx="4">
                  <c:v>61</c:v>
                </c:pt>
                <c:pt idx="5">
                  <c:v>67</c:v>
                </c:pt>
                <c:pt idx="6">
                  <c:v>46</c:v>
                </c:pt>
                <c:pt idx="7">
                  <c:v>50</c:v>
                </c:pt>
                <c:pt idx="8">
                  <c:v>55</c:v>
                </c:pt>
                <c:pt idx="9">
                  <c:v>72</c:v>
                </c:pt>
                <c:pt idx="10">
                  <c:v>63</c:v>
                </c:pt>
                <c:pt idx="11">
                  <c:v>59</c:v>
                </c:pt>
                <c:pt idx="12">
                  <c:v>53</c:v>
                </c:pt>
                <c:pt idx="13">
                  <c:v>62</c:v>
                </c:pt>
                <c:pt idx="14">
                  <c:v>65</c:v>
                </c:pt>
                <c:pt idx="15">
                  <c:v>48</c:v>
                </c:pt>
                <c:pt idx="16">
                  <c:v>32</c:v>
                </c:pt>
                <c:pt idx="17">
                  <c:v>64</c:v>
                </c:pt>
                <c:pt idx="18">
                  <c:v>59</c:v>
                </c:pt>
                <c:pt idx="19">
                  <c:v>54</c:v>
                </c:pt>
                <c:pt idx="20">
                  <c:v>52</c:v>
                </c:pt>
                <c:pt idx="21">
                  <c:v>64</c:v>
                </c:pt>
                <c:pt idx="22">
                  <c:v>51</c:v>
                </c:pt>
                <c:pt idx="23">
                  <c:v>62</c:v>
                </c:pt>
                <c:pt idx="24">
                  <c:v>56</c:v>
                </c:pt>
                <c:pt idx="25">
                  <c:v>38</c:v>
                </c:pt>
                <c:pt idx="26">
                  <c:v>52</c:v>
                </c:pt>
                <c:pt idx="27">
                  <c:v>40</c:v>
                </c:pt>
                <c:pt idx="28">
                  <c:v>65</c:v>
                </c:pt>
                <c:pt idx="29">
                  <c:v>61</c:v>
                </c:pt>
                <c:pt idx="30">
                  <c:v>64</c:v>
                </c:pt>
                <c:pt idx="31">
                  <c:v>64</c:v>
                </c:pt>
                <c:pt idx="32">
                  <c:v>53</c:v>
                </c:pt>
                <c:pt idx="33">
                  <c:v>51</c:v>
                </c:pt>
                <c:pt idx="34">
                  <c:v>58</c:v>
                </c:pt>
                <c:pt idx="35">
                  <c:v>65</c:v>
                </c:pt>
              </c:numCache>
            </c:numRef>
          </c:xVal>
          <c:yVal>
            <c:numRef>
              <c:f>Sheet7!$B$11:$B$46</c:f>
              <c:numCache>
                <c:formatCode>General</c:formatCode>
                <c:ptCount val="36"/>
                <c:pt idx="0">
                  <c:v>29</c:v>
                </c:pt>
                <c:pt idx="1">
                  <c:v>19</c:v>
                </c:pt>
                <c:pt idx="2">
                  <c:v>30</c:v>
                </c:pt>
                <c:pt idx="3">
                  <c:v>27</c:v>
                </c:pt>
                <c:pt idx="4">
                  <c:v>28</c:v>
                </c:pt>
                <c:pt idx="5">
                  <c:v>27</c:v>
                </c:pt>
                <c:pt idx="6">
                  <c:v>22</c:v>
                </c:pt>
                <c:pt idx="7">
                  <c:v>29</c:v>
                </c:pt>
                <c:pt idx="8">
                  <c:v>24</c:v>
                </c:pt>
                <c:pt idx="9">
                  <c:v>33</c:v>
                </c:pt>
                <c:pt idx="10">
                  <c:v>25</c:v>
                </c:pt>
                <c:pt idx="11">
                  <c:v>20</c:v>
                </c:pt>
                <c:pt idx="12">
                  <c:v>28</c:v>
                </c:pt>
                <c:pt idx="13">
                  <c:v>22</c:v>
                </c:pt>
                <c:pt idx="14">
                  <c:v>27</c:v>
                </c:pt>
                <c:pt idx="15">
                  <c:v>22</c:v>
                </c:pt>
                <c:pt idx="16">
                  <c:v>27</c:v>
                </c:pt>
                <c:pt idx="17">
                  <c:v>28</c:v>
                </c:pt>
                <c:pt idx="18">
                  <c:v>30</c:v>
                </c:pt>
                <c:pt idx="19">
                  <c:v>29</c:v>
                </c:pt>
                <c:pt idx="20">
                  <c:v>21</c:v>
                </c:pt>
                <c:pt idx="21">
                  <c:v>26</c:v>
                </c:pt>
                <c:pt idx="22">
                  <c:v>20</c:v>
                </c:pt>
                <c:pt idx="23">
                  <c:v>29</c:v>
                </c:pt>
                <c:pt idx="24">
                  <c:v>34</c:v>
                </c:pt>
                <c:pt idx="25">
                  <c:v>21</c:v>
                </c:pt>
                <c:pt idx="26">
                  <c:v>25</c:v>
                </c:pt>
                <c:pt idx="27">
                  <c:v>24</c:v>
                </c:pt>
                <c:pt idx="28">
                  <c:v>32</c:v>
                </c:pt>
                <c:pt idx="29">
                  <c:v>29</c:v>
                </c:pt>
                <c:pt idx="30">
                  <c:v>27</c:v>
                </c:pt>
                <c:pt idx="31">
                  <c:v>26</c:v>
                </c:pt>
                <c:pt idx="32">
                  <c:v>24</c:v>
                </c:pt>
                <c:pt idx="33">
                  <c:v>25</c:v>
                </c:pt>
                <c:pt idx="34">
                  <c:v>34</c:v>
                </c:pt>
                <c:pt idx="35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2-40ED-AF42-8C570FE55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160608"/>
        <c:axId val="1972151488"/>
      </c:scatterChart>
      <c:valAx>
        <c:axId val="197216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수학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151488"/>
        <c:crosses val="autoZero"/>
        <c:crossBetween val="midCat"/>
      </c:valAx>
      <c:valAx>
        <c:axId val="197215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사회과학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160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히스토그램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Sheet8!$A$14:$A$24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Sheet8!$B$14:$B$24</c:f>
              <c:numCache>
                <c:formatCode>General</c:formatCode>
                <c:ptCount val="11"/>
                <c:pt idx="0">
                  <c:v>0.5987369392383789</c:v>
                </c:pt>
                <c:pt idx="1">
                  <c:v>0.31512470486230471</c:v>
                </c:pt>
                <c:pt idx="2">
                  <c:v>7.4634798520019557E-2</c:v>
                </c:pt>
                <c:pt idx="3">
                  <c:v>1.0475059441406248E-2</c:v>
                </c:pt>
                <c:pt idx="4">
                  <c:v>9.6480810644531312E-4</c:v>
                </c:pt>
                <c:pt idx="5">
                  <c:v>6.0935248828124926E-5</c:v>
                </c:pt>
                <c:pt idx="6">
                  <c:v>2.6725986328124979E-6</c:v>
                </c:pt>
                <c:pt idx="7">
                  <c:v>8.0378906250000105E-8</c:v>
                </c:pt>
                <c:pt idx="8">
                  <c:v>1.5864257812500044E-9</c:v>
                </c:pt>
                <c:pt idx="9">
                  <c:v>1.8554687500000024E-11</c:v>
                </c:pt>
                <c:pt idx="10">
                  <c:v>9.7656250000000218E-14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0-4F5F-B02F-D940B7E4A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2141408"/>
        <c:axId val="1972141888"/>
      </c:barChart>
      <c:catAx>
        <c:axId val="197214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141888"/>
        <c:crosses val="autoZero"/>
        <c:auto val="1"/>
        <c:lblAlgn val="ctr"/>
        <c:lblOffset val="100"/>
        <c:noMultiLvlLbl val="0"/>
      </c:catAx>
      <c:valAx>
        <c:axId val="197214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14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Sheet8!$M$4:$M$14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Sheet8!$N$4:$N$14</c:f>
              <c:numCache>
                <c:formatCode>General</c:formatCode>
                <c:ptCount val="11"/>
                <c:pt idx="0">
                  <c:v>0.34867844009999993</c:v>
                </c:pt>
                <c:pt idx="1">
                  <c:v>0.38742048899999998</c:v>
                </c:pt>
                <c:pt idx="2">
                  <c:v>0.19371024450000005</c:v>
                </c:pt>
                <c:pt idx="3">
                  <c:v>5.739562799999999E-2</c:v>
                </c:pt>
                <c:pt idx="4">
                  <c:v>1.1160261000000003E-2</c:v>
                </c:pt>
                <c:pt idx="5">
                  <c:v>1.4880348000000001E-3</c:v>
                </c:pt>
                <c:pt idx="6">
                  <c:v>1.3778099999999988E-4</c:v>
                </c:pt>
                <c:pt idx="7">
                  <c:v>8.7480000000000084E-6</c:v>
                </c:pt>
                <c:pt idx="8">
                  <c:v>3.6450000000000065E-7</c:v>
                </c:pt>
                <c:pt idx="9">
                  <c:v>8.9999999999999962E-9</c:v>
                </c:pt>
                <c:pt idx="10">
                  <c:v>1.0000000000000031E-10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3-4E8E-952B-410D81860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2154368"/>
        <c:axId val="1972144768"/>
      </c:barChart>
      <c:catAx>
        <c:axId val="197215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144768"/>
        <c:crosses val="autoZero"/>
        <c:auto val="1"/>
        <c:lblAlgn val="ctr"/>
        <c:lblOffset val="100"/>
        <c:noMultiLvlLbl val="0"/>
      </c:catAx>
      <c:valAx>
        <c:axId val="197214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15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Sheet8!$M$4:$M$14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Sheet8!$O$4:$O$14</c:f>
              <c:numCache>
                <c:formatCode>General</c:formatCode>
                <c:ptCount val="11"/>
                <c:pt idx="0">
                  <c:v>9.765625E-4</c:v>
                </c:pt>
                <c:pt idx="1">
                  <c:v>9.7656250000000017E-3</c:v>
                </c:pt>
                <c:pt idx="2">
                  <c:v>4.3945312499999972E-2</c:v>
                </c:pt>
                <c:pt idx="3">
                  <c:v>0.11718750000000003</c:v>
                </c:pt>
                <c:pt idx="4">
                  <c:v>0.20507812500000006</c:v>
                </c:pt>
                <c:pt idx="5">
                  <c:v>0.24609375000000008</c:v>
                </c:pt>
                <c:pt idx="6">
                  <c:v>0.20507812500000006</c:v>
                </c:pt>
                <c:pt idx="7">
                  <c:v>0.11718750000000003</c:v>
                </c:pt>
                <c:pt idx="8">
                  <c:v>4.3945312499999986E-2</c:v>
                </c:pt>
                <c:pt idx="9">
                  <c:v>9.7656250000000017E-3</c:v>
                </c:pt>
                <c:pt idx="10">
                  <c:v>9.765625E-4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C-4737-96D8-97BC75664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2171168"/>
        <c:axId val="1972172608"/>
      </c:barChart>
      <c:catAx>
        <c:axId val="197217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172608"/>
        <c:crosses val="autoZero"/>
        <c:auto val="1"/>
        <c:lblAlgn val="ctr"/>
        <c:lblOffset val="100"/>
        <c:noMultiLvlLbl val="0"/>
      </c:catAx>
      <c:valAx>
        <c:axId val="197217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17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Sheet8!$M$4:$M$14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Sheet8!$P$4:$P$14</c:f>
              <c:numCache>
                <c:formatCode>General</c:formatCode>
                <c:ptCount val="11"/>
                <c:pt idx="0">
                  <c:v>9.9999999999999603E-11</c:v>
                </c:pt>
                <c:pt idx="1">
                  <c:v>8.9999999999999962E-9</c:v>
                </c:pt>
                <c:pt idx="2">
                  <c:v>3.6449999999999938E-7</c:v>
                </c:pt>
                <c:pt idx="3">
                  <c:v>8.7479999999999932E-6</c:v>
                </c:pt>
                <c:pt idx="4">
                  <c:v>1.3778099999999974E-4</c:v>
                </c:pt>
                <c:pt idx="5">
                  <c:v>1.4880348000000001E-3</c:v>
                </c:pt>
                <c:pt idx="6">
                  <c:v>1.1160260999999993E-2</c:v>
                </c:pt>
                <c:pt idx="7">
                  <c:v>5.7395627999999935E-2</c:v>
                </c:pt>
                <c:pt idx="8">
                  <c:v>0.19371024450000002</c:v>
                </c:pt>
                <c:pt idx="9">
                  <c:v>0.38742048899999998</c:v>
                </c:pt>
                <c:pt idx="10">
                  <c:v>0.34867844010000004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6-4F1B-89E5-9F3CE268B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2201408"/>
        <c:axId val="1972201888"/>
      </c:barChart>
      <c:catAx>
        <c:axId val="19722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201888"/>
        <c:crosses val="autoZero"/>
        <c:auto val="1"/>
        <c:lblAlgn val="ctr"/>
        <c:lblOffset val="100"/>
        <c:noMultiLvlLbl val="0"/>
      </c:catAx>
      <c:valAx>
        <c:axId val="197220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20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Sheet9!$A$2:$A$11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Sheet9!$C$2:$C$11</c:f>
              <c:numCache>
                <c:formatCode>General</c:formatCode>
                <c:ptCount val="10"/>
                <c:pt idx="0">
                  <c:v>6.7205512739749756E-2</c:v>
                </c:pt>
                <c:pt idx="1">
                  <c:v>0.18145488439732435</c:v>
                </c:pt>
                <c:pt idx="2">
                  <c:v>0.24496409393638793</c:v>
                </c:pt>
                <c:pt idx="3">
                  <c:v>0.22046768454274912</c:v>
                </c:pt>
                <c:pt idx="4">
                  <c:v>0.1488156870663557</c:v>
                </c:pt>
                <c:pt idx="5">
                  <c:v>8.0360471015832088E-2</c:v>
                </c:pt>
                <c:pt idx="6">
                  <c:v>3.6162211957124456E-2</c:v>
                </c:pt>
                <c:pt idx="7">
                  <c:v>1.3948281754890856E-2</c:v>
                </c:pt>
                <c:pt idx="8">
                  <c:v>4.7075450922756624E-3</c:v>
                </c:pt>
                <c:pt idx="9">
                  <c:v>1.4122635276826989E-3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8-4FAE-93E3-FEC63FA79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2194208"/>
        <c:axId val="1972197568"/>
      </c:barChart>
      <c:catAx>
        <c:axId val="197219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197568"/>
        <c:crosses val="autoZero"/>
        <c:auto val="1"/>
        <c:lblAlgn val="ctr"/>
        <c:lblOffset val="100"/>
        <c:noMultiLvlLbl val="0"/>
      </c:catAx>
      <c:valAx>
        <c:axId val="197219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19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Sheet10!$A$2:$A$72</c:f>
              <c:numCache>
                <c:formatCode>General</c:formatCode>
                <c:ptCount val="71"/>
                <c:pt idx="0">
                  <c:v>-3.5</c:v>
                </c:pt>
                <c:pt idx="1">
                  <c:v>-3.4</c:v>
                </c:pt>
                <c:pt idx="2">
                  <c:v>-3.3</c:v>
                </c:pt>
                <c:pt idx="3">
                  <c:v>-3.2</c:v>
                </c:pt>
                <c:pt idx="4">
                  <c:v>-3.1</c:v>
                </c:pt>
                <c:pt idx="5">
                  <c:v>-3</c:v>
                </c:pt>
                <c:pt idx="6">
                  <c:v>-2.9</c:v>
                </c:pt>
                <c:pt idx="7">
                  <c:v>-2.8</c:v>
                </c:pt>
                <c:pt idx="8">
                  <c:v>-2.7</c:v>
                </c:pt>
                <c:pt idx="9">
                  <c:v>-2.6</c:v>
                </c:pt>
                <c:pt idx="10">
                  <c:v>-2.5</c:v>
                </c:pt>
                <c:pt idx="11">
                  <c:v>-2.4</c:v>
                </c:pt>
                <c:pt idx="12">
                  <c:v>-2.2999999999999998</c:v>
                </c:pt>
                <c:pt idx="13">
                  <c:v>-2.2000000000000002</c:v>
                </c:pt>
                <c:pt idx="14">
                  <c:v>-2.1</c:v>
                </c:pt>
                <c:pt idx="15">
                  <c:v>-2</c:v>
                </c:pt>
                <c:pt idx="16">
                  <c:v>-1.9</c:v>
                </c:pt>
                <c:pt idx="17">
                  <c:v>-1.8</c:v>
                </c:pt>
                <c:pt idx="18">
                  <c:v>-1.7</c:v>
                </c:pt>
                <c:pt idx="19">
                  <c:v>-1.6</c:v>
                </c:pt>
                <c:pt idx="20">
                  <c:v>-1.5</c:v>
                </c:pt>
                <c:pt idx="21">
                  <c:v>-1.4</c:v>
                </c:pt>
                <c:pt idx="22">
                  <c:v>-1.3</c:v>
                </c:pt>
                <c:pt idx="23">
                  <c:v>-1.2</c:v>
                </c:pt>
                <c:pt idx="24">
                  <c:v>-1.1000000000000001</c:v>
                </c:pt>
                <c:pt idx="25">
                  <c:v>-1</c:v>
                </c:pt>
                <c:pt idx="26">
                  <c:v>-0.9</c:v>
                </c:pt>
                <c:pt idx="27">
                  <c:v>-0.8</c:v>
                </c:pt>
                <c:pt idx="28">
                  <c:v>-0.7</c:v>
                </c:pt>
                <c:pt idx="29">
                  <c:v>-0.6</c:v>
                </c:pt>
                <c:pt idx="30">
                  <c:v>-0.5</c:v>
                </c:pt>
                <c:pt idx="31">
                  <c:v>-0.4</c:v>
                </c:pt>
                <c:pt idx="32">
                  <c:v>-0.3</c:v>
                </c:pt>
                <c:pt idx="33">
                  <c:v>-0.2</c:v>
                </c:pt>
                <c:pt idx="34">
                  <c:v>-0.1</c:v>
                </c:pt>
                <c:pt idx="35">
                  <c:v>0</c:v>
                </c:pt>
                <c:pt idx="36">
                  <c:v>0.1</c:v>
                </c:pt>
                <c:pt idx="37">
                  <c:v>0.2</c:v>
                </c:pt>
                <c:pt idx="38">
                  <c:v>0.3</c:v>
                </c:pt>
                <c:pt idx="39">
                  <c:v>0.4</c:v>
                </c:pt>
                <c:pt idx="40">
                  <c:v>0.5</c:v>
                </c:pt>
                <c:pt idx="41">
                  <c:v>0.6</c:v>
                </c:pt>
                <c:pt idx="42">
                  <c:v>0.7</c:v>
                </c:pt>
                <c:pt idx="43">
                  <c:v>0.8</c:v>
                </c:pt>
                <c:pt idx="44">
                  <c:v>0.9</c:v>
                </c:pt>
                <c:pt idx="45">
                  <c:v>1</c:v>
                </c:pt>
                <c:pt idx="46">
                  <c:v>1.1000000000000001</c:v>
                </c:pt>
                <c:pt idx="47">
                  <c:v>1.2</c:v>
                </c:pt>
                <c:pt idx="48">
                  <c:v>1.3</c:v>
                </c:pt>
                <c:pt idx="49">
                  <c:v>1.4</c:v>
                </c:pt>
                <c:pt idx="50">
                  <c:v>1.5</c:v>
                </c:pt>
                <c:pt idx="51">
                  <c:v>1.6</c:v>
                </c:pt>
                <c:pt idx="52">
                  <c:v>1.7</c:v>
                </c:pt>
                <c:pt idx="53">
                  <c:v>1.8</c:v>
                </c:pt>
                <c:pt idx="54">
                  <c:v>1.9</c:v>
                </c:pt>
                <c:pt idx="55">
                  <c:v>2.0000000000000102</c:v>
                </c:pt>
                <c:pt idx="56">
                  <c:v>2.1</c:v>
                </c:pt>
                <c:pt idx="57">
                  <c:v>2.2000000000000002</c:v>
                </c:pt>
                <c:pt idx="58">
                  <c:v>2.30000000000001</c:v>
                </c:pt>
                <c:pt idx="59">
                  <c:v>2.4000000000000101</c:v>
                </c:pt>
                <c:pt idx="60">
                  <c:v>2.5000000000000102</c:v>
                </c:pt>
                <c:pt idx="61">
                  <c:v>2.6</c:v>
                </c:pt>
                <c:pt idx="62">
                  <c:v>2.7000000000000099</c:v>
                </c:pt>
                <c:pt idx="63">
                  <c:v>2.80000000000001</c:v>
                </c:pt>
                <c:pt idx="64">
                  <c:v>2.9000000000000101</c:v>
                </c:pt>
                <c:pt idx="65">
                  <c:v>3.0000000000000102</c:v>
                </c:pt>
                <c:pt idx="66">
                  <c:v>3.1000000000000099</c:v>
                </c:pt>
                <c:pt idx="67">
                  <c:v>3.2000000000000099</c:v>
                </c:pt>
                <c:pt idx="68">
                  <c:v>3.30000000000001</c:v>
                </c:pt>
                <c:pt idx="69">
                  <c:v>3.4000000000000101</c:v>
                </c:pt>
                <c:pt idx="70">
                  <c:v>3.5000000000000102</c:v>
                </c:pt>
              </c:numCache>
            </c:numRef>
          </c:cat>
          <c:val>
            <c:numRef>
              <c:f>Sheet10!$B$2:$B$72</c:f>
              <c:numCache>
                <c:formatCode>General</c:formatCode>
                <c:ptCount val="71"/>
                <c:pt idx="0">
                  <c:v>8.7268269504576015E-4</c:v>
                </c:pt>
                <c:pt idx="1">
                  <c:v>1.2322191684730199E-3</c:v>
                </c:pt>
                <c:pt idx="2">
                  <c:v>1.7225689390536812E-3</c:v>
                </c:pt>
                <c:pt idx="3">
                  <c:v>2.3840882014648404E-3</c:v>
                </c:pt>
                <c:pt idx="4">
                  <c:v>3.2668190561999182E-3</c:v>
                </c:pt>
                <c:pt idx="5">
                  <c:v>4.4318484119380075E-3</c:v>
                </c:pt>
                <c:pt idx="6">
                  <c:v>5.9525324197758538E-3</c:v>
                </c:pt>
                <c:pt idx="7">
                  <c:v>7.9154515829799686E-3</c:v>
                </c:pt>
                <c:pt idx="8">
                  <c:v>1.0420934814422592E-2</c:v>
                </c:pt>
                <c:pt idx="9">
                  <c:v>1.3582969233685613E-2</c:v>
                </c:pt>
                <c:pt idx="10">
                  <c:v>1.752830049356854E-2</c:v>
                </c:pt>
                <c:pt idx="11">
                  <c:v>2.2394530294842899E-2</c:v>
                </c:pt>
                <c:pt idx="12">
                  <c:v>2.8327037741601186E-2</c:v>
                </c:pt>
                <c:pt idx="13">
                  <c:v>3.5474592846231424E-2</c:v>
                </c:pt>
                <c:pt idx="14">
                  <c:v>4.3983595980427191E-2</c:v>
                </c:pt>
                <c:pt idx="15">
                  <c:v>5.3990966513188063E-2</c:v>
                </c:pt>
                <c:pt idx="16">
                  <c:v>6.5615814774676595E-2</c:v>
                </c:pt>
                <c:pt idx="17">
                  <c:v>7.8950158300894149E-2</c:v>
                </c:pt>
                <c:pt idx="18">
                  <c:v>9.4049077376886947E-2</c:v>
                </c:pt>
                <c:pt idx="19">
                  <c:v>0.11092083467945554</c:v>
                </c:pt>
                <c:pt idx="20">
                  <c:v>0.12951759566589174</c:v>
                </c:pt>
                <c:pt idx="21">
                  <c:v>0.14972746563574488</c:v>
                </c:pt>
                <c:pt idx="22">
                  <c:v>0.17136859204780736</c:v>
                </c:pt>
                <c:pt idx="23">
                  <c:v>0.19418605498321295</c:v>
                </c:pt>
                <c:pt idx="24">
                  <c:v>0.21785217703255053</c:v>
                </c:pt>
                <c:pt idx="25">
                  <c:v>0.24197072451914337</c:v>
                </c:pt>
                <c:pt idx="26">
                  <c:v>0.26608524989875482</c:v>
                </c:pt>
                <c:pt idx="27">
                  <c:v>0.28969155276148273</c:v>
                </c:pt>
                <c:pt idx="28">
                  <c:v>0.31225393336676127</c:v>
                </c:pt>
                <c:pt idx="29">
                  <c:v>0.33322460289179967</c:v>
                </c:pt>
                <c:pt idx="30">
                  <c:v>0.35206532676429952</c:v>
                </c:pt>
                <c:pt idx="31">
                  <c:v>0.36827014030332333</c:v>
                </c:pt>
                <c:pt idx="32">
                  <c:v>0.38138781546052414</c:v>
                </c:pt>
                <c:pt idx="33">
                  <c:v>0.39104269397545588</c:v>
                </c:pt>
                <c:pt idx="34">
                  <c:v>0.39695254747701181</c:v>
                </c:pt>
                <c:pt idx="35">
                  <c:v>0.3989422804014327</c:v>
                </c:pt>
                <c:pt idx="36">
                  <c:v>0.39695254747701181</c:v>
                </c:pt>
                <c:pt idx="37">
                  <c:v>0.39104269397545588</c:v>
                </c:pt>
                <c:pt idx="38">
                  <c:v>0.38138781546052414</c:v>
                </c:pt>
                <c:pt idx="39">
                  <c:v>0.36827014030332333</c:v>
                </c:pt>
                <c:pt idx="40">
                  <c:v>0.35206532676429952</c:v>
                </c:pt>
                <c:pt idx="41">
                  <c:v>0.33322460289179967</c:v>
                </c:pt>
                <c:pt idx="42">
                  <c:v>0.31225393336676127</c:v>
                </c:pt>
                <c:pt idx="43">
                  <c:v>0.28969155276148273</c:v>
                </c:pt>
                <c:pt idx="44">
                  <c:v>0.26608524989875482</c:v>
                </c:pt>
                <c:pt idx="45">
                  <c:v>0.24197072451914337</c:v>
                </c:pt>
                <c:pt idx="46">
                  <c:v>0.21785217703255053</c:v>
                </c:pt>
                <c:pt idx="47">
                  <c:v>0.19418605498321295</c:v>
                </c:pt>
                <c:pt idx="48">
                  <c:v>0.17136859204780736</c:v>
                </c:pt>
                <c:pt idx="49">
                  <c:v>0.14972746563574488</c:v>
                </c:pt>
                <c:pt idx="50">
                  <c:v>0.12951759566589174</c:v>
                </c:pt>
                <c:pt idx="51">
                  <c:v>0.11092083467945554</c:v>
                </c:pt>
                <c:pt idx="52">
                  <c:v>9.4049077376886947E-2</c:v>
                </c:pt>
                <c:pt idx="53">
                  <c:v>7.8950158300894149E-2</c:v>
                </c:pt>
                <c:pt idx="54">
                  <c:v>6.5615814774676595E-2</c:v>
                </c:pt>
                <c:pt idx="55">
                  <c:v>5.3990966513186953E-2</c:v>
                </c:pt>
                <c:pt idx="56">
                  <c:v>4.3983595980427191E-2</c:v>
                </c:pt>
                <c:pt idx="57">
                  <c:v>3.5474592846231424E-2</c:v>
                </c:pt>
                <c:pt idx="58">
                  <c:v>2.8327037741600516E-2</c:v>
                </c:pt>
                <c:pt idx="59">
                  <c:v>2.2394530294842355E-2</c:v>
                </c:pt>
                <c:pt idx="60">
                  <c:v>1.7528300493568086E-2</c:v>
                </c:pt>
                <c:pt idx="61">
                  <c:v>1.3582969233685613E-2</c:v>
                </c:pt>
                <c:pt idx="62">
                  <c:v>1.0420934814422318E-2</c:v>
                </c:pt>
                <c:pt idx="63">
                  <c:v>7.915451582979743E-3</c:v>
                </c:pt>
                <c:pt idx="64">
                  <c:v>5.9525324197756795E-3</c:v>
                </c:pt>
                <c:pt idx="65">
                  <c:v>4.431848411937874E-3</c:v>
                </c:pt>
                <c:pt idx="66">
                  <c:v>3.2668190561998202E-3</c:v>
                </c:pt>
                <c:pt idx="67">
                  <c:v>2.3840882014647662E-3</c:v>
                </c:pt>
                <c:pt idx="68">
                  <c:v>1.7225689390536229E-3</c:v>
                </c:pt>
                <c:pt idx="69">
                  <c:v>1.2322191684729772E-3</c:v>
                </c:pt>
                <c:pt idx="70">
                  <c:v>8.7268269504572915E-4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D5-4AA1-8739-F92252F79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4064111"/>
        <c:axId val="900992"/>
      </c:lineChart>
      <c:catAx>
        <c:axId val="206406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0992"/>
        <c:crosses val="autoZero"/>
        <c:auto val="1"/>
        <c:lblAlgn val="ctr"/>
        <c:lblOffset val="100"/>
        <c:noMultiLvlLbl val="0"/>
      </c:catAx>
      <c:valAx>
        <c:axId val="90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406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50" charset="-127"/>
              </a:rPr>
              <a:t>상자 수염</a:t>
            </a:r>
            <a:endParaRPr lang="en-US" alt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0556382B-4996-42E9-BBB4-CEA52853A59A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94"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_xlchart.v1.6</cx:f>
      </cx:numDim>
    </cx:data>
  </cx:chartData>
  <cx:chart>
    <cx:title pos="t" align="ctr" overlay="0"/>
    <cx:plotArea>
      <cx:plotAreaRegion>
        <cx:series layoutId="boxWhisker" uniqueId="{6D6B9335-F894-4FBF-8626-CD76FB2C33C8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90" min="150"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_xlchart.v1.4</cx:f>
      </cx:numDim>
    </cx:data>
  </cx:chartData>
  <cx:chart>
    <cx:title pos="t" align="ctr" overlay="0"/>
    <cx:plotArea>
      <cx:plotAreaRegion>
        <cx:series layoutId="boxWhisker" uniqueId="{2407B6C5-5BD0-474B-BCEC-0F5B4238217E}">
          <cx:tx>
            <cx:txData>
              <cx:f>_xlchart.v1.1</cx:f>
              <cx:v>남자</cx:v>
            </cx:txData>
          </cx:tx>
          <cx:dataLabels>
            <cx:numFmt formatCode="#,##0_);[빨강](#,##0)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B064DFA-317F-4632-A227-E14F7BAD0B4A}">
          <cx:tx>
            <cx:txData>
              <cx:f>_xlchart.v1.3</cx:f>
              <cx:v>여자</cx:v>
            </cx:txData>
          </cx:tx>
          <cx:dataLabels>
            <cx:numFmt formatCode="#,##0_);[빨강](#,##0)" sourceLinked="0"/>
            <cx:visibility seriesName="0" categoryName="0" value="1"/>
            <cx:separator>, </cx:separator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90" min="150"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pH 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분포도 상자 그림</a:t>
            </a:r>
          </a:p>
        </cx:rich>
      </cx:tx>
    </cx:title>
    <cx:plotArea>
      <cx:plotAreaRegion>
        <cx:series layoutId="boxWhisker" uniqueId="{C8244EF3-F9D3-4ACD-AC2F-C67D3702B11C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4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638174</xdr:colOff>
      <xdr:row>0</xdr:row>
      <xdr:rowOff>114300</xdr:rowOff>
    </xdr:from>
    <xdr:to>
      <xdr:col>18</xdr:col>
      <xdr:colOff>107950</xdr:colOff>
      <xdr:row>13</xdr:row>
      <xdr:rowOff>50800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F4C918A-AE3F-FE05-D7BE-77F7FB178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485775</xdr:colOff>
      <xdr:row>0</xdr:row>
      <xdr:rowOff>146050</xdr:rowOff>
    </xdr:from>
    <xdr:to>
      <xdr:col>25</xdr:col>
      <xdr:colOff>434975</xdr:colOff>
      <xdr:row>13</xdr:row>
      <xdr:rowOff>82550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65F22E4-3764-D19E-415C-83DFF894D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320674</xdr:colOff>
      <xdr:row>15</xdr:row>
      <xdr:rowOff>82550</xdr:rowOff>
    </xdr:from>
    <xdr:to>
      <xdr:col>18</xdr:col>
      <xdr:colOff>57150</xdr:colOff>
      <xdr:row>29</xdr:row>
      <xdr:rowOff>50800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BFCDE80-BC40-3ECF-0955-ACF79F564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18</xdr:row>
      <xdr:rowOff>114300</xdr:rowOff>
    </xdr:from>
    <xdr:to>
      <xdr:col>6</xdr:col>
      <xdr:colOff>3048000</xdr:colOff>
      <xdr:row>34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80D8228D-612C-4E06-BABB-7BE3C8BC83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1250" y="3314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250825</xdr:colOff>
      <xdr:row>4</xdr:row>
      <xdr:rowOff>133350</xdr:rowOff>
    </xdr:from>
    <xdr:to>
      <xdr:col>20</xdr:col>
      <xdr:colOff>200025</xdr:colOff>
      <xdr:row>17</xdr:row>
      <xdr:rowOff>69850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차트 5">
              <a:extLst>
                <a:ext uri="{FF2B5EF4-FFF2-40B4-BE49-F238E27FC236}">
                  <a16:creationId xmlns:a16="http://schemas.microsoft.com/office/drawing/2014/main" id="{68C7D328-0F27-11C3-D7BC-2ED3A92C3E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36025" y="996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2</xdr:col>
      <xdr:colOff>644525</xdr:colOff>
      <xdr:row>1</xdr:row>
      <xdr:rowOff>120650</xdr:rowOff>
    </xdr:from>
    <xdr:to>
      <xdr:col>9</xdr:col>
      <xdr:colOff>593725</xdr:colOff>
      <xdr:row>17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차트 3">
              <a:extLst>
                <a:ext uri="{FF2B5EF4-FFF2-40B4-BE49-F238E27FC236}">
                  <a16:creationId xmlns:a16="http://schemas.microsoft.com/office/drawing/2014/main" id="{2F2AA9A5-6BE3-F345-3325-5AD3D5156D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5325" y="336550"/>
              <a:ext cx="4572000" cy="3448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530225</xdr:colOff>
      <xdr:row>10</xdr:row>
      <xdr:rowOff>31750</xdr:rowOff>
    </xdr:from>
    <xdr:to>
      <xdr:col>10</xdr:col>
      <xdr:colOff>269875</xdr:colOff>
      <xdr:row>22</xdr:row>
      <xdr:rowOff>184150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CFA442BF-0B88-46AA-7E79-C6C214F99B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1425" y="2190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0</xdr:row>
      <xdr:rowOff>95250</xdr:rowOff>
    </xdr:from>
    <xdr:to>
      <xdr:col>12</xdr:col>
      <xdr:colOff>149225</xdr:colOff>
      <xdr:row>10</xdr:row>
      <xdr:rowOff>209550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93FD330-4A1E-B18A-1BD8-399F56286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301625</xdr:colOff>
      <xdr:row>13</xdr:row>
      <xdr:rowOff>0</xdr:rowOff>
    </xdr:from>
    <xdr:to>
      <xdr:col>9</xdr:col>
      <xdr:colOff>523875</xdr:colOff>
      <xdr:row>19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02568B6-114E-5F8B-A158-31CA90632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606425</xdr:colOff>
      <xdr:row>14</xdr:row>
      <xdr:rowOff>31750</xdr:rowOff>
    </xdr:from>
    <xdr:to>
      <xdr:col>20</xdr:col>
      <xdr:colOff>3063875</xdr:colOff>
      <xdr:row>19</xdr:row>
      <xdr:rowOff>457200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7B7D235-086A-C95B-EC8A-21C4DD8A3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847725</xdr:colOff>
      <xdr:row>23</xdr:row>
      <xdr:rowOff>6350</xdr:rowOff>
    </xdr:from>
    <xdr:to>
      <xdr:col>9</xdr:col>
      <xdr:colOff>142875</xdr:colOff>
      <xdr:row>35</xdr:row>
      <xdr:rowOff>158750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12583CF-E2C4-9D8C-9656-FE08BD20C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574675</xdr:colOff>
      <xdr:row>12</xdr:row>
      <xdr:rowOff>19050</xdr:rowOff>
    </xdr:from>
    <xdr:to>
      <xdr:col>9</xdr:col>
      <xdr:colOff>523875</xdr:colOff>
      <xdr:row>24</xdr:row>
      <xdr:rowOff>171450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35B9425-22C1-AA85-A5C8-F399B01E9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130175</xdr:colOff>
      <xdr:row>16</xdr:row>
      <xdr:rowOff>0</xdr:rowOff>
    </xdr:from>
    <xdr:to>
      <xdr:col>17</xdr:col>
      <xdr:colOff>79375</xdr:colOff>
      <xdr:row>28</xdr:row>
      <xdr:rowOff>152400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46D902F-776B-4F91-88FE-313F975BA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568325</xdr:colOff>
      <xdr:row>1</xdr:row>
      <xdr:rowOff>114300</xdr:rowOff>
    </xdr:from>
    <xdr:to>
      <xdr:col>24</xdr:col>
      <xdr:colOff>517525</xdr:colOff>
      <xdr:row>14</xdr:row>
      <xdr:rowOff>50800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5E7BF17-46C1-A142-29A6-5650A7E0D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352425</xdr:colOff>
      <xdr:row>16</xdr:row>
      <xdr:rowOff>50800</xdr:rowOff>
    </xdr:from>
    <xdr:to>
      <xdr:col>24</xdr:col>
      <xdr:colOff>301625</xdr:colOff>
      <xdr:row>28</xdr:row>
      <xdr:rowOff>203200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17F8B9D-C4FA-0EFB-FF5E-C89A0FD43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</xdr:colOff>
      <xdr:row>0</xdr:row>
      <xdr:rowOff>177800</xdr:rowOff>
    </xdr:from>
    <xdr:to>
      <xdr:col>11</xdr:col>
      <xdr:colOff>3175</xdr:colOff>
      <xdr:row>13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2D6E50B-D7D9-44B2-BC42-304E61ADD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574674</xdr:colOff>
      <xdr:row>1</xdr:row>
      <xdr:rowOff>76200</xdr:rowOff>
    </xdr:from>
    <xdr:to>
      <xdr:col>13</xdr:col>
      <xdr:colOff>304800</xdr:colOff>
      <xdr:row>14</xdr:row>
      <xdr:rowOff>12700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C553375-C6D1-9CF7-C1A1-C755D4337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5948-BDCB-4258-928D-E3ECCADA9C9A}">
  <dimension ref="A1:F130"/>
  <sheetViews>
    <sheetView topLeftCell="A4" workbookViewId="0">
      <selection activeCell="F15" activeCellId="1" sqref="D15:D25 F15:F25"/>
    </sheetView>
  </sheetViews>
  <sheetFormatPr defaultRowHeight="17" x14ac:dyDescent="0.45"/>
  <cols>
    <col min="3" max="3" width="11.08203125" bestFit="1" customWidth="1"/>
  </cols>
  <sheetData>
    <row r="1" spans="1:6" x14ac:dyDescent="0.45">
      <c r="A1" s="1">
        <v>2</v>
      </c>
      <c r="C1" t="s">
        <v>0</v>
      </c>
      <c r="D1">
        <f>COUNTIF($A$1:$A$130,1)</f>
        <v>4</v>
      </c>
      <c r="E1">
        <f>D1/$D$11</f>
        <v>3.0769230769230771E-2</v>
      </c>
    </row>
    <row r="2" spans="1:6" x14ac:dyDescent="0.45">
      <c r="A2">
        <v>1</v>
      </c>
      <c r="C2" t="s">
        <v>1</v>
      </c>
      <c r="D2">
        <f>COUNTIF($A$1:$A$130,2)</f>
        <v>33</v>
      </c>
      <c r="E2">
        <f t="shared" ref="E2:E10" si="0">D2/$D$11</f>
        <v>0.25384615384615383</v>
      </c>
    </row>
    <row r="3" spans="1:6" x14ac:dyDescent="0.45">
      <c r="A3">
        <v>2</v>
      </c>
      <c r="C3" t="s">
        <v>2</v>
      </c>
      <c r="D3">
        <f>COUNTIF($A$1:$A$130,3)</f>
        <v>48</v>
      </c>
      <c r="E3">
        <f t="shared" si="0"/>
        <v>0.36923076923076925</v>
      </c>
    </row>
    <row r="4" spans="1:6" x14ac:dyDescent="0.45">
      <c r="A4">
        <v>4</v>
      </c>
      <c r="C4" t="s">
        <v>3</v>
      </c>
      <c r="D4">
        <f>COUNTIF($A$1:$A$130,4)</f>
        <v>7</v>
      </c>
      <c r="E4">
        <f t="shared" si="0"/>
        <v>5.3846153846153849E-2</v>
      </c>
    </row>
    <row r="5" spans="1:6" x14ac:dyDescent="0.45">
      <c r="A5">
        <v>2</v>
      </c>
      <c r="C5" t="s">
        <v>4</v>
      </c>
      <c r="D5">
        <f>COUNTIF($A$1:$A$130,5)</f>
        <v>11</v>
      </c>
      <c r="E5">
        <f t="shared" si="0"/>
        <v>8.461538461538462E-2</v>
      </c>
    </row>
    <row r="6" spans="1:6" x14ac:dyDescent="0.45">
      <c r="A6">
        <v>5</v>
      </c>
      <c r="C6" t="s">
        <v>5</v>
      </c>
      <c r="D6">
        <f>COUNTIF($A$1:$A$130,6)</f>
        <v>22</v>
      </c>
      <c r="E6">
        <f t="shared" si="0"/>
        <v>0.16923076923076924</v>
      </c>
    </row>
    <row r="7" spans="1:6" x14ac:dyDescent="0.45">
      <c r="A7">
        <v>3</v>
      </c>
      <c r="C7" t="s">
        <v>6</v>
      </c>
      <c r="D7">
        <f>COUNTIF($A$1:$A$130,7)</f>
        <v>1</v>
      </c>
      <c r="E7">
        <f t="shared" si="0"/>
        <v>7.6923076923076927E-3</v>
      </c>
    </row>
    <row r="8" spans="1:6" x14ac:dyDescent="0.45">
      <c r="A8">
        <v>3</v>
      </c>
      <c r="C8" t="s">
        <v>7</v>
      </c>
      <c r="D8">
        <f>COUNTIF($A$1:$A$130,8)</f>
        <v>1</v>
      </c>
      <c r="E8">
        <f t="shared" si="0"/>
        <v>7.6923076923076927E-3</v>
      </c>
    </row>
    <row r="9" spans="1:6" x14ac:dyDescent="0.45">
      <c r="A9">
        <v>5</v>
      </c>
      <c r="C9" t="s">
        <v>8</v>
      </c>
      <c r="D9">
        <f>COUNTIF($A$1:$A$130,9)</f>
        <v>2</v>
      </c>
      <c r="E9">
        <f t="shared" si="0"/>
        <v>1.5384615384615385E-2</v>
      </c>
    </row>
    <row r="10" spans="1:6" x14ac:dyDescent="0.45">
      <c r="A10">
        <v>6</v>
      </c>
      <c r="C10" t="s">
        <v>9</v>
      </c>
      <c r="D10">
        <f>COUNTIF($A$1:$A$130,10)</f>
        <v>1</v>
      </c>
      <c r="E10">
        <f t="shared" si="0"/>
        <v>7.6923076923076927E-3</v>
      </c>
    </row>
    <row r="11" spans="1:6" x14ac:dyDescent="0.45">
      <c r="A11">
        <v>3</v>
      </c>
      <c r="D11">
        <f>SUM(D1:D10)</f>
        <v>130</v>
      </c>
      <c r="E11">
        <f>SUM(E1:E10)</f>
        <v>1</v>
      </c>
    </row>
    <row r="12" spans="1:6" x14ac:dyDescent="0.45">
      <c r="A12">
        <v>8</v>
      </c>
    </row>
    <row r="13" spans="1:6" x14ac:dyDescent="0.45">
      <c r="A13">
        <v>3</v>
      </c>
    </row>
    <row r="14" spans="1:6" x14ac:dyDescent="0.45">
      <c r="A14">
        <v>3</v>
      </c>
    </row>
    <row r="15" spans="1:6" x14ac:dyDescent="0.45">
      <c r="A15">
        <v>6</v>
      </c>
      <c r="D15" t="s">
        <v>11</v>
      </c>
      <c r="F15" t="s">
        <v>10</v>
      </c>
    </row>
    <row r="16" spans="1:6" x14ac:dyDescent="0.45">
      <c r="A16">
        <v>3</v>
      </c>
      <c r="C16" t="s">
        <v>2</v>
      </c>
      <c r="D16">
        <f>COUNTIF($A$1:$A$130,3)</f>
        <v>48</v>
      </c>
      <c r="E16">
        <f>D16/$D$11</f>
        <v>0.36923076923076925</v>
      </c>
      <c r="F16">
        <f>E16</f>
        <v>0.36923076923076925</v>
      </c>
    </row>
    <row r="17" spans="1:6" x14ac:dyDescent="0.45">
      <c r="A17">
        <v>6</v>
      </c>
      <c r="C17" t="s">
        <v>1</v>
      </c>
      <c r="D17">
        <f>COUNTIF($A$1:$A$130,2)</f>
        <v>33</v>
      </c>
      <c r="E17">
        <f t="shared" ref="E17:E25" si="1">D17/$D$11</f>
        <v>0.25384615384615383</v>
      </c>
      <c r="F17">
        <f>F16+E17</f>
        <v>0.62307692307692308</v>
      </c>
    </row>
    <row r="18" spans="1:6" x14ac:dyDescent="0.45">
      <c r="A18">
        <v>5</v>
      </c>
      <c r="C18" t="s">
        <v>5</v>
      </c>
      <c r="D18">
        <f>COUNTIF($A$1:$A$130,6)</f>
        <v>22</v>
      </c>
      <c r="E18">
        <f t="shared" si="1"/>
        <v>0.16923076923076924</v>
      </c>
      <c r="F18">
        <f t="shared" ref="F18:F25" si="2">F17+E18</f>
        <v>0.79230769230769238</v>
      </c>
    </row>
    <row r="19" spans="1:6" x14ac:dyDescent="0.45">
      <c r="A19">
        <v>3</v>
      </c>
      <c r="C19" t="s">
        <v>4</v>
      </c>
      <c r="D19">
        <f>COUNTIF($A$1:$A$130,5)</f>
        <v>11</v>
      </c>
      <c r="E19">
        <f t="shared" si="1"/>
        <v>8.461538461538462E-2</v>
      </c>
      <c r="F19">
        <f t="shared" si="2"/>
        <v>0.87692307692307703</v>
      </c>
    </row>
    <row r="20" spans="1:6" x14ac:dyDescent="0.45">
      <c r="A20">
        <v>5</v>
      </c>
      <c r="C20" t="s">
        <v>3</v>
      </c>
      <c r="D20">
        <f>COUNTIF($A$1:$A$130,4)</f>
        <v>7</v>
      </c>
      <c r="E20">
        <f t="shared" si="1"/>
        <v>5.3846153846153849E-2</v>
      </c>
      <c r="F20">
        <f t="shared" si="2"/>
        <v>0.9307692307692309</v>
      </c>
    </row>
    <row r="21" spans="1:6" x14ac:dyDescent="0.45">
      <c r="A21">
        <v>2</v>
      </c>
      <c r="C21" t="s">
        <v>0</v>
      </c>
      <c r="D21">
        <f>COUNTIF($A$1:$A$130,1)</f>
        <v>4</v>
      </c>
      <c r="E21">
        <f t="shared" si="1"/>
        <v>3.0769230769230771E-2</v>
      </c>
      <c r="F21">
        <f t="shared" si="2"/>
        <v>0.96153846153846168</v>
      </c>
    </row>
    <row r="22" spans="1:6" x14ac:dyDescent="0.45">
      <c r="A22">
        <v>6</v>
      </c>
      <c r="C22" t="s">
        <v>8</v>
      </c>
      <c r="D22">
        <f>COUNTIF($A$1:$A$130,9)</f>
        <v>2</v>
      </c>
      <c r="E22">
        <f t="shared" si="1"/>
        <v>1.5384615384615385E-2</v>
      </c>
      <c r="F22">
        <f t="shared" si="2"/>
        <v>0.97692307692307701</v>
      </c>
    </row>
    <row r="23" spans="1:6" x14ac:dyDescent="0.45">
      <c r="A23">
        <v>2</v>
      </c>
      <c r="C23" t="s">
        <v>6</v>
      </c>
      <c r="D23">
        <f>COUNTIF($A$1:$A$130,7)</f>
        <v>1</v>
      </c>
      <c r="E23">
        <f t="shared" si="1"/>
        <v>7.6923076923076927E-3</v>
      </c>
      <c r="F23">
        <f t="shared" si="2"/>
        <v>0.98461538461538467</v>
      </c>
    </row>
    <row r="24" spans="1:6" x14ac:dyDescent="0.45">
      <c r="A24">
        <v>3</v>
      </c>
      <c r="C24" t="s">
        <v>7</v>
      </c>
      <c r="D24">
        <f>COUNTIF($A$1:$A$130,8)</f>
        <v>1</v>
      </c>
      <c r="E24">
        <f t="shared" si="1"/>
        <v>7.6923076923076927E-3</v>
      </c>
      <c r="F24">
        <f t="shared" si="2"/>
        <v>0.99230769230769234</v>
      </c>
    </row>
    <row r="25" spans="1:6" x14ac:dyDescent="0.45">
      <c r="A25">
        <v>4</v>
      </c>
      <c r="C25" t="s">
        <v>9</v>
      </c>
      <c r="D25">
        <f>COUNTIF($A$1:$A$130,10)</f>
        <v>1</v>
      </c>
      <c r="E25">
        <f t="shared" si="1"/>
        <v>7.6923076923076927E-3</v>
      </c>
      <c r="F25">
        <f t="shared" si="2"/>
        <v>1</v>
      </c>
    </row>
    <row r="26" spans="1:6" x14ac:dyDescent="0.45">
      <c r="A26">
        <v>3</v>
      </c>
      <c r="E26">
        <f>SUM(E16:E25)</f>
        <v>1</v>
      </c>
    </row>
    <row r="27" spans="1:6" x14ac:dyDescent="0.45">
      <c r="A27">
        <v>2</v>
      </c>
    </row>
    <row r="28" spans="1:6" x14ac:dyDescent="0.45">
      <c r="A28">
        <v>9</v>
      </c>
    </row>
    <row r="29" spans="1:6" x14ac:dyDescent="0.45">
      <c r="A29">
        <v>2</v>
      </c>
    </row>
    <row r="30" spans="1:6" x14ac:dyDescent="0.45">
      <c r="A30">
        <v>2</v>
      </c>
    </row>
    <row r="31" spans="1:6" x14ac:dyDescent="0.45">
      <c r="A31">
        <v>3</v>
      </c>
    </row>
    <row r="32" spans="1:6" x14ac:dyDescent="0.45">
      <c r="A32">
        <v>2</v>
      </c>
    </row>
    <row r="33" spans="1:1" x14ac:dyDescent="0.45">
      <c r="A33">
        <v>7</v>
      </c>
    </row>
    <row r="34" spans="1:1" x14ac:dyDescent="0.45">
      <c r="A34">
        <v>3</v>
      </c>
    </row>
    <row r="35" spans="1:1" x14ac:dyDescent="0.45">
      <c r="A35">
        <v>2</v>
      </c>
    </row>
    <row r="36" spans="1:1" x14ac:dyDescent="0.45">
      <c r="A36">
        <v>10</v>
      </c>
    </row>
    <row r="37" spans="1:1" x14ac:dyDescent="0.45">
      <c r="A37">
        <v>6</v>
      </c>
    </row>
    <row r="38" spans="1:1" x14ac:dyDescent="0.45">
      <c r="A38">
        <v>2</v>
      </c>
    </row>
    <row r="39" spans="1:1" x14ac:dyDescent="0.45">
      <c r="A39">
        <v>3</v>
      </c>
    </row>
    <row r="40" spans="1:1" x14ac:dyDescent="0.45">
      <c r="A40">
        <v>1</v>
      </c>
    </row>
    <row r="41" spans="1:1" x14ac:dyDescent="0.45">
      <c r="A41">
        <v>2</v>
      </c>
    </row>
    <row r="42" spans="1:1" x14ac:dyDescent="0.45">
      <c r="A42">
        <v>3</v>
      </c>
    </row>
    <row r="43" spans="1:1" x14ac:dyDescent="0.45">
      <c r="A43">
        <v>3</v>
      </c>
    </row>
    <row r="44" spans="1:1" x14ac:dyDescent="0.45">
      <c r="A44">
        <v>4</v>
      </c>
    </row>
    <row r="45" spans="1:1" x14ac:dyDescent="0.45">
      <c r="A45">
        <v>3</v>
      </c>
    </row>
    <row r="46" spans="1:1" x14ac:dyDescent="0.45">
      <c r="A46">
        <v>2</v>
      </c>
    </row>
    <row r="47" spans="1:1" x14ac:dyDescent="0.45">
      <c r="A47">
        <v>6</v>
      </c>
    </row>
    <row r="48" spans="1:1" x14ac:dyDescent="0.45">
      <c r="A48">
        <v>2</v>
      </c>
    </row>
    <row r="49" spans="1:1" x14ac:dyDescent="0.45">
      <c r="A49">
        <v>2</v>
      </c>
    </row>
    <row r="50" spans="1:1" x14ac:dyDescent="0.45">
      <c r="A50">
        <v>3</v>
      </c>
    </row>
    <row r="51" spans="1:1" x14ac:dyDescent="0.45">
      <c r="A51">
        <v>2</v>
      </c>
    </row>
    <row r="52" spans="1:1" x14ac:dyDescent="0.45">
      <c r="A52">
        <v>3</v>
      </c>
    </row>
    <row r="53" spans="1:1" x14ac:dyDescent="0.45">
      <c r="A53">
        <v>4</v>
      </c>
    </row>
    <row r="54" spans="1:1" x14ac:dyDescent="0.45">
      <c r="A54">
        <v>3</v>
      </c>
    </row>
    <row r="55" spans="1:1" x14ac:dyDescent="0.45">
      <c r="A55">
        <v>2</v>
      </c>
    </row>
    <row r="56" spans="1:1" x14ac:dyDescent="0.45">
      <c r="A56">
        <v>3</v>
      </c>
    </row>
    <row r="57" spans="1:1" x14ac:dyDescent="0.45">
      <c r="A57">
        <v>5</v>
      </c>
    </row>
    <row r="58" spans="1:1" x14ac:dyDescent="0.45">
      <c r="A58">
        <v>2</v>
      </c>
    </row>
    <row r="59" spans="1:1" x14ac:dyDescent="0.45">
      <c r="A59">
        <v>5</v>
      </c>
    </row>
    <row r="60" spans="1:1" x14ac:dyDescent="0.45">
      <c r="A60">
        <v>5</v>
      </c>
    </row>
    <row r="61" spans="1:1" x14ac:dyDescent="0.45">
      <c r="A61">
        <v>3</v>
      </c>
    </row>
    <row r="62" spans="1:1" x14ac:dyDescent="0.45">
      <c r="A62">
        <v>4</v>
      </c>
    </row>
    <row r="63" spans="1:1" x14ac:dyDescent="0.45">
      <c r="A63">
        <v>3</v>
      </c>
    </row>
    <row r="64" spans="1:1" x14ac:dyDescent="0.45">
      <c r="A64">
        <v>6</v>
      </c>
    </row>
    <row r="65" spans="1:1" x14ac:dyDescent="0.45">
      <c r="A65">
        <v>2</v>
      </c>
    </row>
    <row r="66" spans="1:1" x14ac:dyDescent="0.45">
      <c r="A66">
        <v>1</v>
      </c>
    </row>
    <row r="67" spans="1:1" x14ac:dyDescent="0.45">
      <c r="A67">
        <v>2</v>
      </c>
    </row>
    <row r="68" spans="1:1" x14ac:dyDescent="0.45">
      <c r="A68">
        <v>3</v>
      </c>
    </row>
    <row r="69" spans="1:1" x14ac:dyDescent="0.45">
      <c r="A69">
        <v>2</v>
      </c>
    </row>
    <row r="70" spans="1:1" x14ac:dyDescent="0.45">
      <c r="A70">
        <v>6</v>
      </c>
    </row>
    <row r="71" spans="1:1" x14ac:dyDescent="0.45">
      <c r="A71">
        <v>3</v>
      </c>
    </row>
    <row r="72" spans="1:1" x14ac:dyDescent="0.45">
      <c r="A72">
        <v>3</v>
      </c>
    </row>
    <row r="73" spans="1:1" x14ac:dyDescent="0.45">
      <c r="A73">
        <v>6</v>
      </c>
    </row>
    <row r="74" spans="1:1" x14ac:dyDescent="0.45">
      <c r="A74">
        <v>3</v>
      </c>
    </row>
    <row r="75" spans="1:1" x14ac:dyDescent="0.45">
      <c r="A75">
        <v>2</v>
      </c>
    </row>
    <row r="76" spans="1:1" x14ac:dyDescent="0.45">
      <c r="A76">
        <v>3</v>
      </c>
    </row>
    <row r="77" spans="1:1" x14ac:dyDescent="0.45">
      <c r="A77">
        <v>6</v>
      </c>
    </row>
    <row r="78" spans="1:1" x14ac:dyDescent="0.45">
      <c r="A78">
        <v>4</v>
      </c>
    </row>
    <row r="79" spans="1:1" x14ac:dyDescent="0.45">
      <c r="A79">
        <v>6</v>
      </c>
    </row>
    <row r="80" spans="1:1" x14ac:dyDescent="0.45">
      <c r="A80">
        <v>5</v>
      </c>
    </row>
    <row r="81" spans="1:1" x14ac:dyDescent="0.45">
      <c r="A81">
        <v>3</v>
      </c>
    </row>
    <row r="82" spans="1:1" x14ac:dyDescent="0.45">
      <c r="A82">
        <v>5</v>
      </c>
    </row>
    <row r="83" spans="1:1" x14ac:dyDescent="0.45">
      <c r="A83">
        <v>6</v>
      </c>
    </row>
    <row r="84" spans="1:1" x14ac:dyDescent="0.45">
      <c r="A84">
        <v>2</v>
      </c>
    </row>
    <row r="85" spans="1:1" x14ac:dyDescent="0.45">
      <c r="A85">
        <v>6</v>
      </c>
    </row>
    <row r="86" spans="1:1" x14ac:dyDescent="0.45">
      <c r="A86">
        <v>3</v>
      </c>
    </row>
    <row r="87" spans="1:1" x14ac:dyDescent="0.45">
      <c r="A87">
        <v>2</v>
      </c>
    </row>
    <row r="88" spans="1:1" x14ac:dyDescent="0.45">
      <c r="A88">
        <v>3</v>
      </c>
    </row>
    <row r="89" spans="1:1" x14ac:dyDescent="0.45">
      <c r="A89">
        <v>2</v>
      </c>
    </row>
    <row r="90" spans="1:1" x14ac:dyDescent="0.45">
      <c r="A90">
        <v>6</v>
      </c>
    </row>
    <row r="91" spans="1:1" x14ac:dyDescent="0.45">
      <c r="A91">
        <v>2</v>
      </c>
    </row>
    <row r="92" spans="1:1" x14ac:dyDescent="0.45">
      <c r="A92">
        <v>6</v>
      </c>
    </row>
    <row r="93" spans="1:1" x14ac:dyDescent="0.45">
      <c r="A93">
        <v>3</v>
      </c>
    </row>
    <row r="94" spans="1:1" x14ac:dyDescent="0.45">
      <c r="A94">
        <v>3</v>
      </c>
    </row>
    <row r="95" spans="1:1" x14ac:dyDescent="0.45">
      <c r="A95">
        <v>2</v>
      </c>
    </row>
    <row r="96" spans="1:1" x14ac:dyDescent="0.45">
      <c r="A96">
        <v>6</v>
      </c>
    </row>
    <row r="97" spans="1:1" x14ac:dyDescent="0.45">
      <c r="A97">
        <v>9</v>
      </c>
    </row>
    <row r="98" spans="1:1" x14ac:dyDescent="0.45">
      <c r="A98">
        <v>6</v>
      </c>
    </row>
    <row r="99" spans="1:1" x14ac:dyDescent="0.45">
      <c r="A99">
        <v>3</v>
      </c>
    </row>
    <row r="100" spans="1:1" x14ac:dyDescent="0.45">
      <c r="A100">
        <v>6</v>
      </c>
    </row>
    <row r="101" spans="1:1" x14ac:dyDescent="0.45">
      <c r="A101">
        <v>6</v>
      </c>
    </row>
    <row r="102" spans="1:1" x14ac:dyDescent="0.45">
      <c r="A102">
        <v>2</v>
      </c>
    </row>
    <row r="103" spans="1:1" x14ac:dyDescent="0.45">
      <c r="A103">
        <v>3</v>
      </c>
    </row>
    <row r="104" spans="1:1" x14ac:dyDescent="0.45">
      <c r="A104">
        <v>2</v>
      </c>
    </row>
    <row r="105" spans="1:1" x14ac:dyDescent="0.45">
      <c r="A105">
        <v>3</v>
      </c>
    </row>
    <row r="106" spans="1:1" x14ac:dyDescent="0.45">
      <c r="A106">
        <v>5</v>
      </c>
    </row>
    <row r="107" spans="1:1" x14ac:dyDescent="0.45">
      <c r="A107">
        <v>3</v>
      </c>
    </row>
    <row r="108" spans="1:1" x14ac:dyDescent="0.45">
      <c r="A108">
        <v>5</v>
      </c>
    </row>
    <row r="109" spans="1:1" x14ac:dyDescent="0.45">
      <c r="A109">
        <v>2</v>
      </c>
    </row>
    <row r="110" spans="1:1" x14ac:dyDescent="0.45">
      <c r="A110">
        <v>3</v>
      </c>
    </row>
    <row r="111" spans="1:1" x14ac:dyDescent="0.45">
      <c r="A111">
        <v>2</v>
      </c>
    </row>
    <row r="112" spans="1:1" x14ac:dyDescent="0.45">
      <c r="A112">
        <v>3</v>
      </c>
    </row>
    <row r="113" spans="1:1" x14ac:dyDescent="0.45">
      <c r="A113">
        <v>3</v>
      </c>
    </row>
    <row r="114" spans="1:1" x14ac:dyDescent="0.45">
      <c r="A114">
        <v>1</v>
      </c>
    </row>
    <row r="115" spans="1:1" x14ac:dyDescent="0.45">
      <c r="A115">
        <v>3</v>
      </c>
    </row>
    <row r="116" spans="1:1" x14ac:dyDescent="0.45">
      <c r="A116">
        <v>3</v>
      </c>
    </row>
    <row r="117" spans="1:1" x14ac:dyDescent="0.45">
      <c r="A117">
        <v>2</v>
      </c>
    </row>
    <row r="118" spans="1:1" x14ac:dyDescent="0.45">
      <c r="A118">
        <v>3</v>
      </c>
    </row>
    <row r="119" spans="1:1" x14ac:dyDescent="0.45">
      <c r="A119">
        <v>3</v>
      </c>
    </row>
    <row r="120" spans="1:1" x14ac:dyDescent="0.45">
      <c r="A120">
        <v>4</v>
      </c>
    </row>
    <row r="121" spans="1:1" x14ac:dyDescent="0.45">
      <c r="A121">
        <v>3</v>
      </c>
    </row>
    <row r="122" spans="1:1" x14ac:dyDescent="0.45">
      <c r="A122">
        <v>6</v>
      </c>
    </row>
    <row r="123" spans="1:1" x14ac:dyDescent="0.45">
      <c r="A123">
        <v>6</v>
      </c>
    </row>
    <row r="124" spans="1:1" x14ac:dyDescent="0.45">
      <c r="A124">
        <v>3</v>
      </c>
    </row>
    <row r="125" spans="1:1" x14ac:dyDescent="0.45">
      <c r="A125">
        <v>3</v>
      </c>
    </row>
    <row r="126" spans="1:1" x14ac:dyDescent="0.45">
      <c r="A126">
        <v>3</v>
      </c>
    </row>
    <row r="127" spans="1:1" x14ac:dyDescent="0.45">
      <c r="A127">
        <v>2</v>
      </c>
    </row>
    <row r="128" spans="1:1" x14ac:dyDescent="0.45">
      <c r="A128">
        <v>3</v>
      </c>
    </row>
    <row r="129" spans="1:1" x14ac:dyDescent="0.45">
      <c r="A129">
        <v>3</v>
      </c>
    </row>
    <row r="130" spans="1:1" x14ac:dyDescent="0.45">
      <c r="A130">
        <v>6</v>
      </c>
    </row>
  </sheetData>
  <sortState xmlns:xlrd2="http://schemas.microsoft.com/office/spreadsheetml/2017/richdata2" ref="D16:D25">
    <sortCondition descending="1" ref="D16:D25"/>
  </sortState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DC33-1E35-45BF-8B80-833FEC77CC74}">
  <dimension ref="A1:E16"/>
  <sheetViews>
    <sheetView workbookViewId="0">
      <selection activeCell="D11" sqref="D11"/>
    </sheetView>
  </sheetViews>
  <sheetFormatPr defaultRowHeight="17" x14ac:dyDescent="0.45"/>
  <cols>
    <col min="3" max="3" width="12.9140625" bestFit="1" customWidth="1"/>
    <col min="5" max="5" width="11.33203125" bestFit="1" customWidth="1"/>
  </cols>
  <sheetData>
    <row r="1" spans="1:5" x14ac:dyDescent="0.45">
      <c r="A1">
        <v>78</v>
      </c>
      <c r="C1" t="s">
        <v>12</v>
      </c>
      <c r="D1">
        <f>(A8+A9)/2</f>
        <v>40</v>
      </c>
    </row>
    <row r="2" spans="1:5" x14ac:dyDescent="0.45">
      <c r="A2">
        <v>45</v>
      </c>
      <c r="C2" t="s">
        <v>13</v>
      </c>
      <c r="D2">
        <f>_xlfn.PERCENTILE.INC(A1:A16,0.3)</f>
        <v>38</v>
      </c>
      <c r="E2" t="s">
        <v>17</v>
      </c>
    </row>
    <row r="3" spans="1:5" x14ac:dyDescent="0.45">
      <c r="A3">
        <v>44</v>
      </c>
      <c r="C3" t="s">
        <v>15</v>
      </c>
      <c r="D3">
        <f>_xlfn.PERCENTILE.INC(A1:A16,0.25)</f>
        <v>38</v>
      </c>
      <c r="E3">
        <f>_xlfn.QUARTILE.INC(A1:A16,1)</f>
        <v>38</v>
      </c>
    </row>
    <row r="4" spans="1:5" x14ac:dyDescent="0.45">
      <c r="A4">
        <v>44</v>
      </c>
      <c r="C4" t="s">
        <v>16</v>
      </c>
      <c r="D4">
        <f>_xlfn.PERCENTILE.INC(A1:A16,0.75)</f>
        <v>43.25</v>
      </c>
      <c r="E4">
        <f>_xlfn.QUARTILE.INC(A1:A16,3)</f>
        <v>43.25</v>
      </c>
    </row>
    <row r="5" spans="1:5" x14ac:dyDescent="0.45">
      <c r="A5">
        <v>43</v>
      </c>
      <c r="C5" t="s">
        <v>14</v>
      </c>
      <c r="D5">
        <f>D4-D3</f>
        <v>5.25</v>
      </c>
      <c r="E5">
        <f>E4-E3</f>
        <v>5.25</v>
      </c>
    </row>
    <row r="6" spans="1:5" x14ac:dyDescent="0.45">
      <c r="A6">
        <v>42</v>
      </c>
      <c r="C6" t="s">
        <v>20</v>
      </c>
      <c r="D6">
        <f>_xlfn.STDEV.S(A1:A16)</f>
        <v>10.246747451427371</v>
      </c>
    </row>
    <row r="7" spans="1:5" x14ac:dyDescent="0.45">
      <c r="A7">
        <v>41</v>
      </c>
      <c r="C7" t="s">
        <v>19</v>
      </c>
      <c r="D7">
        <f>SUM(A1:A16)/16</f>
        <v>42.0625</v>
      </c>
      <c r="E7">
        <f>AVERAGE(A1:A16)</f>
        <v>42.0625</v>
      </c>
    </row>
    <row r="8" spans="1:5" x14ac:dyDescent="0.45">
      <c r="A8">
        <v>40</v>
      </c>
      <c r="C8" t="s">
        <v>18</v>
      </c>
      <c r="D8">
        <f>D6/D7</f>
        <v>0.24360766600718861</v>
      </c>
      <c r="E8">
        <f xml:space="preserve"> D6/E7</f>
        <v>0.24360766600718861</v>
      </c>
    </row>
    <row r="9" spans="1:5" x14ac:dyDescent="0.45">
      <c r="A9">
        <v>40</v>
      </c>
    </row>
    <row r="10" spans="1:5" x14ac:dyDescent="0.45">
      <c r="A10">
        <v>39</v>
      </c>
    </row>
    <row r="11" spans="1:5" x14ac:dyDescent="0.45">
      <c r="A11">
        <v>38</v>
      </c>
    </row>
    <row r="12" spans="1:5" x14ac:dyDescent="0.45">
      <c r="A12">
        <v>38</v>
      </c>
    </row>
    <row r="13" spans="1:5" x14ac:dyDescent="0.45">
      <c r="A13">
        <v>38</v>
      </c>
    </row>
    <row r="14" spans="1:5" x14ac:dyDescent="0.45">
      <c r="A14">
        <v>37</v>
      </c>
    </row>
    <row r="15" spans="1:5" x14ac:dyDescent="0.45">
      <c r="A15">
        <v>35</v>
      </c>
    </row>
    <row r="16" spans="1:5" x14ac:dyDescent="0.45">
      <c r="A16">
        <v>31</v>
      </c>
    </row>
  </sheetData>
  <sortState xmlns:xlrd2="http://schemas.microsoft.com/office/spreadsheetml/2017/richdata2" ref="A1:A16">
    <sortCondition descending="1" ref="A1:A16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44D2-31B5-4A3B-A0A5-FACB7C200584}">
  <dimension ref="A1:I101"/>
  <sheetViews>
    <sheetView workbookViewId="0">
      <selection activeCell="I9" sqref="I9"/>
    </sheetView>
  </sheetViews>
  <sheetFormatPr defaultRowHeight="14" x14ac:dyDescent="0.45"/>
  <cols>
    <col min="1" max="1" width="9.08203125" style="2" customWidth="1"/>
    <col min="2" max="2" width="9.4140625" style="2" customWidth="1"/>
    <col min="3" max="3" width="10.08203125" style="2" customWidth="1"/>
    <col min="4" max="4" width="10.4140625" style="2" customWidth="1"/>
    <col min="5" max="5" width="8.6640625" style="2"/>
    <col min="6" max="6" width="20.25" style="2" bestFit="1" customWidth="1"/>
    <col min="7" max="7" width="41.6640625" style="2" bestFit="1" customWidth="1"/>
    <col min="8" max="8" width="12.4140625" style="2" bestFit="1" customWidth="1"/>
    <col min="9" max="9" width="12.33203125" style="2" bestFit="1" customWidth="1"/>
    <col min="10" max="10" width="9.9140625" style="2" customWidth="1"/>
    <col min="11" max="16384" width="8.6640625" style="2"/>
  </cols>
  <sheetData>
    <row r="1" spans="1:9" x14ac:dyDescent="0.45">
      <c r="A1" s="2" t="s">
        <v>21</v>
      </c>
      <c r="B1" s="2" t="s">
        <v>22</v>
      </c>
    </row>
    <row r="2" spans="1:9" x14ac:dyDescent="0.45">
      <c r="A2" s="2">
        <v>101.8</v>
      </c>
      <c r="B2" s="2">
        <f>_xlfn.RANK.EQ(A2,$A$2:$A$101, 1)</f>
        <v>92</v>
      </c>
      <c r="C2" s="2" t="str">
        <f>IF(A2&gt;=100, "합격", "불합격")</f>
        <v>합격</v>
      </c>
      <c r="F2" s="2" t="s">
        <v>23</v>
      </c>
    </row>
    <row r="3" spans="1:9" x14ac:dyDescent="0.45">
      <c r="A3" s="2">
        <v>101.5</v>
      </c>
      <c r="B3" s="2">
        <f t="shared" ref="B3:B66" si="0">_xlfn.RANK.EQ(A3,$A$2:$A$101, 1)</f>
        <v>85</v>
      </c>
      <c r="C3" s="2" t="str">
        <f t="shared" ref="C3:C66" si="1">IF(A3&gt;=100, "합격", "불합격")</f>
        <v>합격</v>
      </c>
    </row>
    <row r="4" spans="1:9" x14ac:dyDescent="0.45">
      <c r="A4" s="2">
        <v>101.8</v>
      </c>
      <c r="B4" s="2">
        <f t="shared" si="0"/>
        <v>92</v>
      </c>
      <c r="C4" s="2" t="str">
        <f t="shared" si="1"/>
        <v>합격</v>
      </c>
      <c r="F4" s="2" t="s">
        <v>24</v>
      </c>
      <c r="G4" s="2" t="s">
        <v>25</v>
      </c>
    </row>
    <row r="5" spans="1:9" x14ac:dyDescent="0.45">
      <c r="A5" s="2">
        <v>102.6</v>
      </c>
      <c r="B5" s="2">
        <f t="shared" si="0"/>
        <v>98</v>
      </c>
      <c r="C5" s="2" t="str">
        <f t="shared" si="1"/>
        <v>합격</v>
      </c>
      <c r="F5" s="2" t="s">
        <v>26</v>
      </c>
      <c r="G5" s="2">
        <f>COUNT(A2:A101)</f>
        <v>100</v>
      </c>
    </row>
    <row r="6" spans="1:9" x14ac:dyDescent="0.45">
      <c r="A6" s="2">
        <v>101</v>
      </c>
      <c r="B6" s="2">
        <f>_xlfn.RANK.EQ(A6,$A$2:$A$101, 1)</f>
        <v>73</v>
      </c>
      <c r="C6" s="2" t="str">
        <f t="shared" si="1"/>
        <v>합격</v>
      </c>
      <c r="F6" s="2" t="s">
        <v>27</v>
      </c>
      <c r="G6" s="2">
        <f>SUM(A2:A101)</f>
        <v>10001.000000000002</v>
      </c>
    </row>
    <row r="7" spans="1:9" x14ac:dyDescent="0.45">
      <c r="A7" s="2">
        <v>96.8</v>
      </c>
      <c r="B7" s="2">
        <f t="shared" si="0"/>
        <v>3</v>
      </c>
      <c r="C7" s="2" t="str">
        <f t="shared" si="1"/>
        <v>불합격</v>
      </c>
      <c r="F7" s="2" t="s">
        <v>28</v>
      </c>
      <c r="G7" s="2">
        <f>G6/G5</f>
        <v>100.01000000000002</v>
      </c>
    </row>
    <row r="8" spans="1:9" x14ac:dyDescent="0.45">
      <c r="A8" s="2">
        <v>102.4</v>
      </c>
      <c r="B8" s="2">
        <f t="shared" si="0"/>
        <v>97</v>
      </c>
      <c r="C8" s="2" t="str">
        <f t="shared" si="1"/>
        <v>합격</v>
      </c>
      <c r="F8" s="2" t="s">
        <v>29</v>
      </c>
      <c r="G8" s="2" t="s">
        <v>30</v>
      </c>
      <c r="I8" s="2">
        <f>_xlfn.VAR.P(A2:A101)</f>
        <v>2.1142999999999996</v>
      </c>
    </row>
    <row r="9" spans="1:9" x14ac:dyDescent="0.45">
      <c r="A9" s="2">
        <v>100</v>
      </c>
      <c r="B9" s="2">
        <f t="shared" si="0"/>
        <v>47</v>
      </c>
      <c r="C9" s="2" t="str">
        <f t="shared" si="1"/>
        <v>합격</v>
      </c>
      <c r="G9" s="2" t="s">
        <v>31</v>
      </c>
      <c r="H9" s="2" t="s">
        <v>32</v>
      </c>
      <c r="I9" s="2">
        <f>_xlfn.VAR.S(A2:A101)</f>
        <v>2.1356565656565656</v>
      </c>
    </row>
    <row r="10" spans="1:9" x14ac:dyDescent="0.45">
      <c r="A10" s="2">
        <v>98.8</v>
      </c>
      <c r="B10" s="2">
        <f t="shared" si="0"/>
        <v>17</v>
      </c>
      <c r="C10" s="2" t="str">
        <f t="shared" si="1"/>
        <v>불합격</v>
      </c>
    </row>
    <row r="11" spans="1:9" x14ac:dyDescent="0.45">
      <c r="A11" s="2">
        <v>98.1</v>
      </c>
      <c r="B11" s="2">
        <f t="shared" si="0"/>
        <v>10</v>
      </c>
      <c r="C11" s="2" t="str">
        <f t="shared" si="1"/>
        <v>불합격</v>
      </c>
      <c r="G11" s="2" t="s">
        <v>33</v>
      </c>
    </row>
    <row r="12" spans="1:9" x14ac:dyDescent="0.45">
      <c r="A12" s="2">
        <v>98.8</v>
      </c>
      <c r="B12" s="2">
        <f t="shared" si="0"/>
        <v>17</v>
      </c>
      <c r="C12" s="2" t="str">
        <f t="shared" si="1"/>
        <v>불합격</v>
      </c>
      <c r="F12" s="2" t="s">
        <v>34</v>
      </c>
      <c r="G12" s="2">
        <f>SQRT(I8)</f>
        <v>1.4540632723509661</v>
      </c>
    </row>
    <row r="13" spans="1:9" x14ac:dyDescent="0.45">
      <c r="A13" s="2">
        <v>98</v>
      </c>
      <c r="B13" s="2">
        <f t="shared" si="0"/>
        <v>9</v>
      </c>
      <c r="C13" s="2" t="str">
        <f t="shared" si="1"/>
        <v>불합격</v>
      </c>
      <c r="F13" s="2" t="s">
        <v>35</v>
      </c>
      <c r="G13" s="2" t="s">
        <v>36</v>
      </c>
    </row>
    <row r="14" spans="1:9" x14ac:dyDescent="0.45">
      <c r="A14" s="2">
        <v>99.4</v>
      </c>
      <c r="B14" s="2">
        <f t="shared" si="0"/>
        <v>28</v>
      </c>
      <c r="C14" s="2" t="str">
        <f t="shared" si="1"/>
        <v>불합격</v>
      </c>
      <c r="F14" s="2" t="s">
        <v>37</v>
      </c>
      <c r="G14" s="2" t="s">
        <v>38</v>
      </c>
    </row>
    <row r="15" spans="1:9" x14ac:dyDescent="0.45">
      <c r="A15" s="2">
        <v>95.5</v>
      </c>
      <c r="B15" s="2">
        <f t="shared" si="0"/>
        <v>1</v>
      </c>
      <c r="C15" s="2" t="str">
        <f t="shared" si="1"/>
        <v>불합격</v>
      </c>
    </row>
    <row r="16" spans="1:9" x14ac:dyDescent="0.45">
      <c r="A16" s="2">
        <v>100.1</v>
      </c>
      <c r="B16" s="2">
        <f t="shared" si="0"/>
        <v>52</v>
      </c>
      <c r="C16" s="2" t="str">
        <f t="shared" si="1"/>
        <v>합격</v>
      </c>
      <c r="F16" s="2" t="s">
        <v>39</v>
      </c>
    </row>
    <row r="17" spans="1:9" x14ac:dyDescent="0.45">
      <c r="A17" s="2">
        <v>100.5</v>
      </c>
      <c r="B17" s="2">
        <f t="shared" si="0"/>
        <v>61</v>
      </c>
      <c r="C17" s="2" t="str">
        <f t="shared" si="1"/>
        <v>합격</v>
      </c>
    </row>
    <row r="18" spans="1:9" x14ac:dyDescent="0.45">
      <c r="A18" s="2">
        <v>97.4</v>
      </c>
      <c r="B18" s="2">
        <f t="shared" si="0"/>
        <v>6</v>
      </c>
      <c r="C18" s="2" t="str">
        <f t="shared" si="1"/>
        <v>불합격</v>
      </c>
      <c r="F18" s="2" t="s">
        <v>40</v>
      </c>
    </row>
    <row r="19" spans="1:9" x14ac:dyDescent="0.45">
      <c r="A19" s="2">
        <v>100.2</v>
      </c>
      <c r="B19" s="2">
        <f t="shared" si="0"/>
        <v>55</v>
      </c>
      <c r="C19" s="2" t="str">
        <f t="shared" si="1"/>
        <v>합격</v>
      </c>
    </row>
    <row r="20" spans="1:9" x14ac:dyDescent="0.45">
      <c r="A20" s="2">
        <v>101.4</v>
      </c>
      <c r="B20" s="2">
        <f t="shared" si="0"/>
        <v>81</v>
      </c>
      <c r="C20" s="2" t="str">
        <f t="shared" si="1"/>
        <v>합격</v>
      </c>
      <c r="H20" s="2" t="s">
        <v>43</v>
      </c>
      <c r="I20" s="2" t="s">
        <v>44</v>
      </c>
    </row>
    <row r="21" spans="1:9" x14ac:dyDescent="0.45">
      <c r="A21" s="2">
        <v>98.7</v>
      </c>
      <c r="B21" s="2">
        <f t="shared" si="0"/>
        <v>15</v>
      </c>
      <c r="C21" s="2" t="str">
        <f t="shared" si="1"/>
        <v>불합격</v>
      </c>
    </row>
    <row r="22" spans="1:9" x14ac:dyDescent="0.45">
      <c r="A22" s="2">
        <v>101.4</v>
      </c>
      <c r="B22" s="2">
        <f t="shared" si="0"/>
        <v>81</v>
      </c>
      <c r="C22" s="2" t="str">
        <f t="shared" si="1"/>
        <v>합격</v>
      </c>
    </row>
    <row r="23" spans="1:9" x14ac:dyDescent="0.45">
      <c r="A23" s="2">
        <v>99.4</v>
      </c>
      <c r="B23" s="2">
        <f t="shared" si="0"/>
        <v>28</v>
      </c>
      <c r="C23" s="2" t="str">
        <f t="shared" si="1"/>
        <v>불합격</v>
      </c>
    </row>
    <row r="24" spans="1:9" x14ac:dyDescent="0.45">
      <c r="A24" s="2">
        <v>101.7</v>
      </c>
      <c r="B24" s="2">
        <f t="shared" si="0"/>
        <v>91</v>
      </c>
      <c r="C24" s="2" t="str">
        <f t="shared" si="1"/>
        <v>합격</v>
      </c>
    </row>
    <row r="25" spans="1:9" x14ac:dyDescent="0.45">
      <c r="A25" s="2">
        <v>99</v>
      </c>
      <c r="B25" s="2">
        <f t="shared" si="0"/>
        <v>23</v>
      </c>
      <c r="C25" s="2" t="str">
        <f t="shared" si="1"/>
        <v>불합격</v>
      </c>
    </row>
    <row r="26" spans="1:9" x14ac:dyDescent="0.45">
      <c r="A26" s="2">
        <v>99.7</v>
      </c>
      <c r="B26" s="2">
        <f t="shared" si="0"/>
        <v>36</v>
      </c>
      <c r="C26" s="2" t="str">
        <f t="shared" si="1"/>
        <v>불합격</v>
      </c>
    </row>
    <row r="27" spans="1:9" x14ac:dyDescent="0.45">
      <c r="A27" s="2">
        <v>98.9</v>
      </c>
      <c r="B27" s="2">
        <f t="shared" si="0"/>
        <v>21</v>
      </c>
      <c r="C27" s="2" t="str">
        <f t="shared" si="1"/>
        <v>불합격</v>
      </c>
    </row>
    <row r="28" spans="1:9" x14ac:dyDescent="0.45">
      <c r="A28" s="2">
        <v>99.5</v>
      </c>
      <c r="B28" s="2">
        <f t="shared" si="0"/>
        <v>33</v>
      </c>
      <c r="C28" s="2" t="str">
        <f t="shared" si="1"/>
        <v>불합격</v>
      </c>
    </row>
    <row r="29" spans="1:9" x14ac:dyDescent="0.45">
      <c r="A29" s="2">
        <v>100</v>
      </c>
      <c r="B29" s="2">
        <f t="shared" si="0"/>
        <v>47</v>
      </c>
      <c r="C29" s="2" t="str">
        <f t="shared" si="1"/>
        <v>합격</v>
      </c>
    </row>
    <row r="30" spans="1:9" x14ac:dyDescent="0.45">
      <c r="A30" s="2">
        <v>99.7</v>
      </c>
      <c r="B30" s="2">
        <f t="shared" si="0"/>
        <v>36</v>
      </c>
      <c r="C30" s="2" t="str">
        <f t="shared" si="1"/>
        <v>불합격</v>
      </c>
    </row>
    <row r="31" spans="1:9" x14ac:dyDescent="0.45">
      <c r="A31" s="2">
        <v>100.9</v>
      </c>
      <c r="B31" s="2">
        <f t="shared" si="0"/>
        <v>70</v>
      </c>
      <c r="C31" s="2" t="str">
        <f t="shared" si="1"/>
        <v>합격</v>
      </c>
    </row>
    <row r="32" spans="1:9" x14ac:dyDescent="0.45">
      <c r="A32" s="2">
        <v>99.7</v>
      </c>
      <c r="B32" s="2">
        <f t="shared" si="0"/>
        <v>36</v>
      </c>
      <c r="C32" s="2" t="str">
        <f t="shared" si="1"/>
        <v>불합격</v>
      </c>
    </row>
    <row r="33" spans="1:3" x14ac:dyDescent="0.45">
      <c r="A33" s="2">
        <v>99</v>
      </c>
      <c r="B33" s="2">
        <f t="shared" si="0"/>
        <v>23</v>
      </c>
      <c r="C33" s="2" t="str">
        <f t="shared" si="1"/>
        <v>불합격</v>
      </c>
    </row>
    <row r="34" spans="1:3" x14ac:dyDescent="0.45">
      <c r="A34" s="2">
        <v>98.8</v>
      </c>
      <c r="B34" s="2">
        <f t="shared" si="0"/>
        <v>17</v>
      </c>
      <c r="C34" s="2" t="str">
        <f t="shared" si="1"/>
        <v>불합격</v>
      </c>
    </row>
    <row r="35" spans="1:3" x14ac:dyDescent="0.45">
      <c r="A35" s="2">
        <v>99.7</v>
      </c>
      <c r="B35" s="2">
        <f t="shared" si="0"/>
        <v>36</v>
      </c>
      <c r="C35" s="2" t="str">
        <f t="shared" si="1"/>
        <v>불합격</v>
      </c>
    </row>
    <row r="36" spans="1:3" x14ac:dyDescent="0.45">
      <c r="A36" s="2">
        <v>100.9</v>
      </c>
      <c r="B36" s="2">
        <f t="shared" si="0"/>
        <v>70</v>
      </c>
      <c r="C36" s="2" t="str">
        <f t="shared" si="1"/>
        <v>합격</v>
      </c>
    </row>
    <row r="37" spans="1:3" x14ac:dyDescent="0.45">
      <c r="A37" s="2">
        <v>99.9</v>
      </c>
      <c r="B37" s="2">
        <f t="shared" si="0"/>
        <v>43</v>
      </c>
      <c r="C37" s="2" t="str">
        <f t="shared" si="1"/>
        <v>불합격</v>
      </c>
    </row>
    <row r="38" spans="1:3" x14ac:dyDescent="0.45">
      <c r="A38" s="2">
        <v>97.5</v>
      </c>
      <c r="B38" s="2">
        <f t="shared" si="0"/>
        <v>7</v>
      </c>
      <c r="C38" s="2" t="str">
        <f t="shared" si="1"/>
        <v>불합격</v>
      </c>
    </row>
    <row r="39" spans="1:3" x14ac:dyDescent="0.45">
      <c r="A39" s="2">
        <v>101.5</v>
      </c>
      <c r="B39" s="2">
        <f t="shared" si="0"/>
        <v>85</v>
      </c>
      <c r="C39" s="2" t="str">
        <f t="shared" si="1"/>
        <v>합격</v>
      </c>
    </row>
    <row r="40" spans="1:3" x14ac:dyDescent="0.45">
      <c r="A40" s="2">
        <v>98.2</v>
      </c>
      <c r="B40" s="2">
        <f t="shared" si="0"/>
        <v>12</v>
      </c>
      <c r="C40" s="2" t="str">
        <f t="shared" si="1"/>
        <v>불합격</v>
      </c>
    </row>
    <row r="41" spans="1:3" x14ac:dyDescent="0.45">
      <c r="A41" s="2">
        <v>99.2</v>
      </c>
      <c r="B41" s="2">
        <f t="shared" si="0"/>
        <v>26</v>
      </c>
      <c r="C41" s="2" t="str">
        <f t="shared" si="1"/>
        <v>불합격</v>
      </c>
    </row>
    <row r="42" spans="1:3" x14ac:dyDescent="0.45">
      <c r="A42" s="2">
        <v>98.6</v>
      </c>
      <c r="B42" s="2">
        <f t="shared" si="0"/>
        <v>14</v>
      </c>
      <c r="C42" s="2" t="str">
        <f t="shared" si="1"/>
        <v>불합격</v>
      </c>
    </row>
    <row r="43" spans="1:3" x14ac:dyDescent="0.45">
      <c r="A43" s="2">
        <v>101.4</v>
      </c>
      <c r="B43" s="2">
        <f t="shared" si="0"/>
        <v>81</v>
      </c>
      <c r="C43" s="2" t="str">
        <f t="shared" si="1"/>
        <v>합격</v>
      </c>
    </row>
    <row r="44" spans="1:3" x14ac:dyDescent="0.45">
      <c r="A44" s="2">
        <v>102.1</v>
      </c>
      <c r="B44" s="2">
        <f t="shared" si="0"/>
        <v>96</v>
      </c>
      <c r="C44" s="2" t="str">
        <f t="shared" si="1"/>
        <v>합격</v>
      </c>
    </row>
    <row r="45" spans="1:3" x14ac:dyDescent="0.45">
      <c r="A45" s="2">
        <v>102.9</v>
      </c>
      <c r="B45" s="2">
        <f t="shared" si="0"/>
        <v>99</v>
      </c>
      <c r="C45" s="2" t="str">
        <f t="shared" si="1"/>
        <v>합격</v>
      </c>
    </row>
    <row r="46" spans="1:3" x14ac:dyDescent="0.45">
      <c r="A46" s="2">
        <v>100.8</v>
      </c>
      <c r="B46" s="2">
        <f t="shared" si="0"/>
        <v>66</v>
      </c>
      <c r="C46" s="2" t="str">
        <f t="shared" si="1"/>
        <v>합격</v>
      </c>
    </row>
    <row r="47" spans="1:3" x14ac:dyDescent="0.45">
      <c r="A47" s="2">
        <v>99.4</v>
      </c>
      <c r="B47" s="2">
        <f t="shared" si="0"/>
        <v>28</v>
      </c>
      <c r="C47" s="2" t="str">
        <f t="shared" si="1"/>
        <v>불합격</v>
      </c>
    </row>
    <row r="48" spans="1:3" x14ac:dyDescent="0.45">
      <c r="A48" s="2">
        <v>103.7</v>
      </c>
      <c r="B48" s="2">
        <f t="shared" si="0"/>
        <v>100</v>
      </c>
      <c r="C48" s="2" t="str">
        <f t="shared" si="1"/>
        <v>합격</v>
      </c>
    </row>
    <row r="49" spans="1:3" x14ac:dyDescent="0.45">
      <c r="A49" s="2">
        <v>100.3</v>
      </c>
      <c r="B49" s="2">
        <f t="shared" si="0"/>
        <v>58</v>
      </c>
      <c r="C49" s="2" t="str">
        <f t="shared" si="1"/>
        <v>합격</v>
      </c>
    </row>
    <row r="50" spans="1:3" x14ac:dyDescent="0.45">
      <c r="A50" s="2">
        <v>100.2</v>
      </c>
      <c r="B50" s="2">
        <f t="shared" si="0"/>
        <v>55</v>
      </c>
      <c r="C50" s="2" t="str">
        <f t="shared" si="1"/>
        <v>합격</v>
      </c>
    </row>
    <row r="51" spans="1:3" x14ac:dyDescent="0.45">
      <c r="A51" s="2">
        <v>101.1</v>
      </c>
      <c r="B51" s="2">
        <f t="shared" si="0"/>
        <v>75</v>
      </c>
      <c r="C51" s="2" t="str">
        <f t="shared" si="1"/>
        <v>합격</v>
      </c>
    </row>
    <row r="52" spans="1:3" x14ac:dyDescent="0.45">
      <c r="A52" s="2">
        <v>101.8</v>
      </c>
      <c r="B52" s="2">
        <f t="shared" si="0"/>
        <v>92</v>
      </c>
      <c r="C52" s="2" t="str">
        <f t="shared" si="1"/>
        <v>합격</v>
      </c>
    </row>
    <row r="53" spans="1:3" x14ac:dyDescent="0.45">
      <c r="A53" s="2">
        <v>100</v>
      </c>
      <c r="B53" s="2">
        <f t="shared" si="0"/>
        <v>47</v>
      </c>
      <c r="C53" s="2" t="str">
        <f t="shared" si="1"/>
        <v>합격</v>
      </c>
    </row>
    <row r="54" spans="1:3" x14ac:dyDescent="0.45">
      <c r="A54" s="2">
        <v>101.2</v>
      </c>
      <c r="B54" s="2">
        <f t="shared" si="0"/>
        <v>77</v>
      </c>
      <c r="C54" s="2" t="str">
        <f t="shared" si="1"/>
        <v>합격</v>
      </c>
    </row>
    <row r="55" spans="1:3" x14ac:dyDescent="0.45">
      <c r="A55" s="2">
        <v>100.5</v>
      </c>
      <c r="B55" s="2">
        <f t="shared" si="0"/>
        <v>61</v>
      </c>
      <c r="C55" s="2" t="str">
        <f t="shared" si="1"/>
        <v>합격</v>
      </c>
    </row>
    <row r="56" spans="1:3" x14ac:dyDescent="0.45">
      <c r="A56" s="2">
        <v>101.2</v>
      </c>
      <c r="B56" s="2">
        <f t="shared" si="0"/>
        <v>77</v>
      </c>
      <c r="C56" s="2" t="str">
        <f t="shared" si="1"/>
        <v>합격</v>
      </c>
    </row>
    <row r="57" spans="1:3" x14ac:dyDescent="0.45">
      <c r="A57" s="2">
        <v>101.6</v>
      </c>
      <c r="B57" s="2">
        <f t="shared" si="0"/>
        <v>89</v>
      </c>
      <c r="C57" s="2" t="str">
        <f t="shared" si="1"/>
        <v>합격</v>
      </c>
    </row>
    <row r="58" spans="1:3" x14ac:dyDescent="0.45">
      <c r="A58" s="2">
        <v>99.9</v>
      </c>
      <c r="B58" s="2">
        <f t="shared" si="0"/>
        <v>43</v>
      </c>
      <c r="C58" s="2" t="str">
        <f t="shared" si="1"/>
        <v>불합격</v>
      </c>
    </row>
    <row r="59" spans="1:3" x14ac:dyDescent="0.45">
      <c r="A59" s="2">
        <v>100.5</v>
      </c>
      <c r="B59" s="2">
        <f t="shared" si="0"/>
        <v>61</v>
      </c>
      <c r="C59" s="2" t="str">
        <f t="shared" si="1"/>
        <v>합격</v>
      </c>
    </row>
    <row r="60" spans="1:3" x14ac:dyDescent="0.45">
      <c r="A60" s="2">
        <v>100.4</v>
      </c>
      <c r="B60" s="2">
        <f t="shared" si="0"/>
        <v>60</v>
      </c>
      <c r="C60" s="2" t="str">
        <f t="shared" si="1"/>
        <v>합격</v>
      </c>
    </row>
    <row r="61" spans="1:3" x14ac:dyDescent="0.45">
      <c r="A61" s="2">
        <v>98.1</v>
      </c>
      <c r="B61" s="2">
        <f t="shared" si="0"/>
        <v>10</v>
      </c>
      <c r="C61" s="2" t="str">
        <f t="shared" si="1"/>
        <v>불합격</v>
      </c>
    </row>
    <row r="62" spans="1:3" x14ac:dyDescent="0.45">
      <c r="A62" s="2">
        <v>100.1</v>
      </c>
      <c r="B62" s="2">
        <f t="shared" si="0"/>
        <v>52</v>
      </c>
      <c r="C62" s="2" t="str">
        <f t="shared" si="1"/>
        <v>합격</v>
      </c>
    </row>
    <row r="63" spans="1:3" x14ac:dyDescent="0.45">
      <c r="A63" s="2">
        <v>101.6</v>
      </c>
      <c r="B63" s="2">
        <f t="shared" si="0"/>
        <v>89</v>
      </c>
      <c r="C63" s="2" t="str">
        <f t="shared" si="1"/>
        <v>합격</v>
      </c>
    </row>
    <row r="64" spans="1:3" x14ac:dyDescent="0.45">
      <c r="A64" s="2">
        <v>99.3</v>
      </c>
      <c r="B64" s="2">
        <f t="shared" si="0"/>
        <v>27</v>
      </c>
      <c r="C64" s="2" t="str">
        <f t="shared" si="1"/>
        <v>불합격</v>
      </c>
    </row>
    <row r="65" spans="1:3" x14ac:dyDescent="0.45">
      <c r="A65" s="2">
        <v>96.1</v>
      </c>
      <c r="B65" s="2">
        <f t="shared" si="0"/>
        <v>2</v>
      </c>
      <c r="C65" s="2" t="str">
        <f t="shared" si="1"/>
        <v>불합격</v>
      </c>
    </row>
    <row r="66" spans="1:3" x14ac:dyDescent="0.45">
      <c r="A66" s="2">
        <v>100</v>
      </c>
      <c r="B66" s="2">
        <f t="shared" si="0"/>
        <v>47</v>
      </c>
      <c r="C66" s="2" t="str">
        <f t="shared" si="1"/>
        <v>합격</v>
      </c>
    </row>
    <row r="67" spans="1:3" x14ac:dyDescent="0.45">
      <c r="A67" s="2">
        <v>99.7</v>
      </c>
      <c r="B67" s="2">
        <f t="shared" ref="B67:B101" si="2">_xlfn.RANK.EQ(A67,$A$2:$A$101, 1)</f>
        <v>36</v>
      </c>
      <c r="C67" s="2" t="str">
        <f t="shared" ref="C67:C101" si="3">IF(A67&gt;=100, "합격", "불합격")</f>
        <v>불합격</v>
      </c>
    </row>
    <row r="68" spans="1:3" x14ac:dyDescent="0.45">
      <c r="A68" s="2">
        <v>99.7</v>
      </c>
      <c r="B68" s="2">
        <f t="shared" si="2"/>
        <v>36</v>
      </c>
      <c r="C68" s="2" t="str">
        <f t="shared" si="3"/>
        <v>불합격</v>
      </c>
    </row>
    <row r="69" spans="1:3" x14ac:dyDescent="0.45">
      <c r="A69" s="2">
        <v>99.4</v>
      </c>
      <c r="B69" s="2">
        <f t="shared" si="2"/>
        <v>28</v>
      </c>
      <c r="C69" s="2" t="str">
        <f t="shared" si="3"/>
        <v>불합격</v>
      </c>
    </row>
    <row r="70" spans="1:3" x14ac:dyDescent="0.45">
      <c r="A70" s="2">
        <v>101.5</v>
      </c>
      <c r="B70" s="2">
        <f t="shared" si="2"/>
        <v>85</v>
      </c>
      <c r="C70" s="2" t="str">
        <f t="shared" si="3"/>
        <v>합격</v>
      </c>
    </row>
    <row r="71" spans="1:3" x14ac:dyDescent="0.45">
      <c r="A71" s="2">
        <v>100.9</v>
      </c>
      <c r="B71" s="2">
        <f t="shared" si="2"/>
        <v>70</v>
      </c>
      <c r="C71" s="2" t="str">
        <f t="shared" si="3"/>
        <v>합격</v>
      </c>
    </row>
    <row r="72" spans="1:3" x14ac:dyDescent="0.45">
      <c r="A72" s="2">
        <v>101.3</v>
      </c>
      <c r="B72" s="2">
        <f t="shared" si="2"/>
        <v>80</v>
      </c>
      <c r="C72" s="2" t="str">
        <f t="shared" si="3"/>
        <v>합격</v>
      </c>
    </row>
    <row r="73" spans="1:3" x14ac:dyDescent="0.45">
      <c r="A73" s="2">
        <v>99.9</v>
      </c>
      <c r="B73" s="2">
        <f t="shared" si="2"/>
        <v>43</v>
      </c>
      <c r="C73" s="2" t="str">
        <f t="shared" si="3"/>
        <v>불합격</v>
      </c>
    </row>
    <row r="74" spans="1:3" x14ac:dyDescent="0.45">
      <c r="A74" s="2">
        <v>99.1</v>
      </c>
      <c r="B74" s="2">
        <f t="shared" si="2"/>
        <v>25</v>
      </c>
      <c r="C74" s="2" t="str">
        <f t="shared" si="3"/>
        <v>불합격</v>
      </c>
    </row>
    <row r="75" spans="1:3" x14ac:dyDescent="0.45">
      <c r="A75" s="2">
        <v>100.7</v>
      </c>
      <c r="B75" s="2">
        <f t="shared" si="2"/>
        <v>65</v>
      </c>
      <c r="C75" s="2" t="str">
        <f t="shared" si="3"/>
        <v>합격</v>
      </c>
    </row>
    <row r="76" spans="1:3" x14ac:dyDescent="0.45">
      <c r="A76" s="2">
        <v>100.8</v>
      </c>
      <c r="B76" s="2">
        <f t="shared" si="2"/>
        <v>66</v>
      </c>
      <c r="C76" s="2" t="str">
        <f t="shared" si="3"/>
        <v>합격</v>
      </c>
    </row>
    <row r="77" spans="1:3" x14ac:dyDescent="0.45">
      <c r="A77" s="2">
        <v>100.8</v>
      </c>
      <c r="B77" s="2">
        <f t="shared" si="2"/>
        <v>66</v>
      </c>
      <c r="C77" s="2" t="str">
        <f t="shared" si="3"/>
        <v>합격</v>
      </c>
    </row>
    <row r="78" spans="1:3" x14ac:dyDescent="0.45">
      <c r="A78" s="2">
        <v>101.4</v>
      </c>
      <c r="B78" s="2">
        <f t="shared" si="2"/>
        <v>81</v>
      </c>
      <c r="C78" s="2" t="str">
        <f t="shared" si="3"/>
        <v>합격</v>
      </c>
    </row>
    <row r="79" spans="1:3" x14ac:dyDescent="0.45">
      <c r="A79" s="2">
        <v>100.3</v>
      </c>
      <c r="B79" s="2">
        <f t="shared" si="2"/>
        <v>58</v>
      </c>
      <c r="C79" s="2" t="str">
        <f t="shared" si="3"/>
        <v>합격</v>
      </c>
    </row>
    <row r="80" spans="1:3" x14ac:dyDescent="0.45">
      <c r="A80" s="2">
        <v>98.4</v>
      </c>
      <c r="B80" s="2">
        <f t="shared" si="2"/>
        <v>13</v>
      </c>
      <c r="C80" s="2" t="str">
        <f t="shared" si="3"/>
        <v>불합격</v>
      </c>
    </row>
    <row r="81" spans="1:3" x14ac:dyDescent="0.45">
      <c r="A81" s="2">
        <v>97.2</v>
      </c>
      <c r="B81" s="2">
        <f t="shared" si="2"/>
        <v>4</v>
      </c>
      <c r="C81" s="2" t="str">
        <f t="shared" si="3"/>
        <v>불합격</v>
      </c>
    </row>
    <row r="82" spans="1:3" x14ac:dyDescent="0.45">
      <c r="A82" s="2">
        <v>97.7</v>
      </c>
      <c r="B82" s="2">
        <f t="shared" si="2"/>
        <v>8</v>
      </c>
      <c r="C82" s="2" t="str">
        <f t="shared" si="3"/>
        <v>불합격</v>
      </c>
    </row>
    <row r="83" spans="1:3" x14ac:dyDescent="0.45">
      <c r="A83" s="2">
        <v>100</v>
      </c>
      <c r="B83" s="2">
        <f t="shared" si="2"/>
        <v>47</v>
      </c>
      <c r="C83" s="2" t="str">
        <f t="shared" si="3"/>
        <v>합격</v>
      </c>
    </row>
    <row r="84" spans="1:3" x14ac:dyDescent="0.45">
      <c r="A84" s="2">
        <v>100.5</v>
      </c>
      <c r="B84" s="2">
        <f t="shared" si="2"/>
        <v>61</v>
      </c>
      <c r="C84" s="2" t="str">
        <f t="shared" si="3"/>
        <v>합격</v>
      </c>
    </row>
    <row r="85" spans="1:3" x14ac:dyDescent="0.45">
      <c r="A85" s="2">
        <v>99.6</v>
      </c>
      <c r="B85" s="2">
        <f t="shared" si="2"/>
        <v>34</v>
      </c>
      <c r="C85" s="2" t="str">
        <f t="shared" si="3"/>
        <v>불합격</v>
      </c>
    </row>
    <row r="86" spans="1:3" x14ac:dyDescent="0.45">
      <c r="A86" s="2">
        <v>101</v>
      </c>
      <c r="B86" s="2">
        <f t="shared" si="2"/>
        <v>73</v>
      </c>
      <c r="C86" s="2" t="str">
        <f t="shared" si="3"/>
        <v>합격</v>
      </c>
    </row>
    <row r="87" spans="1:3" x14ac:dyDescent="0.45">
      <c r="A87" s="2">
        <v>100.1</v>
      </c>
      <c r="B87" s="2">
        <f t="shared" si="2"/>
        <v>52</v>
      </c>
      <c r="C87" s="2" t="str">
        <f t="shared" si="3"/>
        <v>합격</v>
      </c>
    </row>
    <row r="88" spans="1:3" x14ac:dyDescent="0.45">
      <c r="A88" s="2">
        <v>99.4</v>
      </c>
      <c r="B88" s="2">
        <f t="shared" si="2"/>
        <v>28</v>
      </c>
      <c r="C88" s="2" t="str">
        <f t="shared" si="3"/>
        <v>불합격</v>
      </c>
    </row>
    <row r="89" spans="1:3" x14ac:dyDescent="0.45">
      <c r="A89" s="2">
        <v>100.2</v>
      </c>
      <c r="B89" s="2">
        <f t="shared" si="2"/>
        <v>55</v>
      </c>
      <c r="C89" s="2" t="str">
        <f t="shared" si="3"/>
        <v>합격</v>
      </c>
    </row>
    <row r="90" spans="1:3" x14ac:dyDescent="0.45">
      <c r="A90" s="2">
        <v>98.9</v>
      </c>
      <c r="B90" s="2">
        <f t="shared" si="2"/>
        <v>21</v>
      </c>
      <c r="C90" s="2" t="str">
        <f t="shared" si="3"/>
        <v>불합격</v>
      </c>
    </row>
    <row r="91" spans="1:3" x14ac:dyDescent="0.45">
      <c r="A91" s="2">
        <v>99.6</v>
      </c>
      <c r="B91" s="2">
        <f t="shared" si="2"/>
        <v>34</v>
      </c>
      <c r="C91" s="2" t="str">
        <f t="shared" si="3"/>
        <v>불합격</v>
      </c>
    </row>
    <row r="92" spans="1:3" x14ac:dyDescent="0.45">
      <c r="A92" s="2">
        <v>99.7</v>
      </c>
      <c r="B92" s="2">
        <f t="shared" si="2"/>
        <v>36</v>
      </c>
      <c r="C92" s="2" t="str">
        <f t="shared" si="3"/>
        <v>불합격</v>
      </c>
    </row>
    <row r="93" spans="1:3" x14ac:dyDescent="0.45">
      <c r="A93" s="2">
        <v>101.1</v>
      </c>
      <c r="B93" s="2">
        <f t="shared" si="2"/>
        <v>75</v>
      </c>
      <c r="C93" s="2" t="str">
        <f t="shared" si="3"/>
        <v>합격</v>
      </c>
    </row>
    <row r="94" spans="1:3" x14ac:dyDescent="0.45">
      <c r="A94" s="2">
        <v>101.5</v>
      </c>
      <c r="B94" s="2">
        <f t="shared" si="2"/>
        <v>85</v>
      </c>
      <c r="C94" s="2" t="str">
        <f t="shared" si="3"/>
        <v>합격</v>
      </c>
    </row>
    <row r="95" spans="1:3" x14ac:dyDescent="0.45">
      <c r="A95" s="2">
        <v>100.8</v>
      </c>
      <c r="B95" s="2">
        <f t="shared" si="2"/>
        <v>66</v>
      </c>
      <c r="C95" s="2" t="str">
        <f t="shared" si="3"/>
        <v>합격</v>
      </c>
    </row>
    <row r="96" spans="1:3" x14ac:dyDescent="0.45">
      <c r="A96" s="2">
        <v>98.8</v>
      </c>
      <c r="B96" s="2">
        <f t="shared" si="2"/>
        <v>17</v>
      </c>
      <c r="C96" s="2" t="str">
        <f t="shared" si="3"/>
        <v>불합격</v>
      </c>
    </row>
    <row r="97" spans="1:3" x14ac:dyDescent="0.45">
      <c r="A97" s="2">
        <v>98.7</v>
      </c>
      <c r="B97" s="2">
        <f t="shared" si="2"/>
        <v>15</v>
      </c>
      <c r="C97" s="2" t="str">
        <f t="shared" si="3"/>
        <v>불합격</v>
      </c>
    </row>
    <row r="98" spans="1:3" x14ac:dyDescent="0.45">
      <c r="A98" s="2">
        <v>101.8</v>
      </c>
      <c r="B98" s="2">
        <f t="shared" si="2"/>
        <v>92</v>
      </c>
      <c r="C98" s="2" t="str">
        <f t="shared" si="3"/>
        <v>합격</v>
      </c>
    </row>
    <row r="99" spans="1:3" x14ac:dyDescent="0.45">
      <c r="A99" s="2">
        <v>97.2</v>
      </c>
      <c r="B99" s="2">
        <f t="shared" si="2"/>
        <v>4</v>
      </c>
      <c r="C99" s="2" t="str">
        <f t="shared" si="3"/>
        <v>불합격</v>
      </c>
    </row>
    <row r="100" spans="1:3" x14ac:dyDescent="0.45">
      <c r="A100" s="2">
        <v>101.2</v>
      </c>
      <c r="B100" s="2">
        <f t="shared" si="2"/>
        <v>77</v>
      </c>
      <c r="C100" s="2" t="str">
        <f t="shared" si="3"/>
        <v>합격</v>
      </c>
    </row>
    <row r="101" spans="1:3" x14ac:dyDescent="0.45">
      <c r="A101" s="2">
        <v>99.9</v>
      </c>
      <c r="B101" s="2">
        <f t="shared" si="2"/>
        <v>43</v>
      </c>
      <c r="C101" s="2" t="str">
        <f t="shared" si="3"/>
        <v>불합격</v>
      </c>
    </row>
  </sheetData>
  <phoneticPr fontId="1" type="noConversion"/>
  <pageMargins left="0.75" right="0.75" top="1" bottom="1" header="0.5" footer="0.5"/>
  <pageSetup paperSize="9"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300E-1E15-4273-A99A-DC4AD1EE0EBF}">
  <dimension ref="A1:M51"/>
  <sheetViews>
    <sheetView workbookViewId="0">
      <selection activeCell="G22" sqref="G22"/>
    </sheetView>
  </sheetViews>
  <sheetFormatPr defaultRowHeight="17" x14ac:dyDescent="0.45"/>
  <sheetData>
    <row r="1" spans="1:13" x14ac:dyDescent="0.45">
      <c r="A1" t="s">
        <v>41</v>
      </c>
      <c r="B1" t="s">
        <v>42</v>
      </c>
      <c r="L1" t="s">
        <v>41</v>
      </c>
      <c r="M1">
        <v>181</v>
      </c>
    </row>
    <row r="2" spans="1:13" x14ac:dyDescent="0.45">
      <c r="A2">
        <v>181</v>
      </c>
      <c r="B2">
        <v>161</v>
      </c>
      <c r="L2" t="s">
        <v>41</v>
      </c>
      <c r="M2">
        <v>170</v>
      </c>
    </row>
    <row r="3" spans="1:13" x14ac:dyDescent="0.45">
      <c r="A3">
        <v>170</v>
      </c>
      <c r="B3">
        <v>160</v>
      </c>
      <c r="L3" t="s">
        <v>41</v>
      </c>
      <c r="M3">
        <v>179</v>
      </c>
    </row>
    <row r="4" spans="1:13" x14ac:dyDescent="0.45">
      <c r="A4">
        <v>179</v>
      </c>
      <c r="B4">
        <v>158</v>
      </c>
      <c r="L4" t="s">
        <v>41</v>
      </c>
      <c r="M4">
        <v>183</v>
      </c>
    </row>
    <row r="5" spans="1:13" x14ac:dyDescent="0.45">
      <c r="A5">
        <v>183</v>
      </c>
      <c r="B5">
        <v>169</v>
      </c>
      <c r="L5" t="s">
        <v>41</v>
      </c>
      <c r="M5">
        <v>178</v>
      </c>
    </row>
    <row r="6" spans="1:13" x14ac:dyDescent="0.45">
      <c r="A6">
        <v>178</v>
      </c>
      <c r="B6">
        <v>162</v>
      </c>
      <c r="L6" t="s">
        <v>41</v>
      </c>
      <c r="M6">
        <v>171</v>
      </c>
    </row>
    <row r="7" spans="1:13" x14ac:dyDescent="0.45">
      <c r="A7">
        <v>171</v>
      </c>
      <c r="B7">
        <v>163</v>
      </c>
      <c r="L7" t="s">
        <v>41</v>
      </c>
      <c r="M7">
        <v>177</v>
      </c>
    </row>
    <row r="8" spans="1:13" x14ac:dyDescent="0.45">
      <c r="A8">
        <v>177</v>
      </c>
      <c r="B8">
        <v>158</v>
      </c>
      <c r="L8" t="s">
        <v>41</v>
      </c>
      <c r="M8">
        <v>174</v>
      </c>
    </row>
    <row r="9" spans="1:13" x14ac:dyDescent="0.45">
      <c r="A9">
        <v>174</v>
      </c>
      <c r="B9">
        <v>160</v>
      </c>
      <c r="L9" t="s">
        <v>41</v>
      </c>
      <c r="M9">
        <v>163</v>
      </c>
    </row>
    <row r="10" spans="1:13" x14ac:dyDescent="0.45">
      <c r="A10">
        <v>163</v>
      </c>
      <c r="B10">
        <v>160</v>
      </c>
      <c r="L10" t="s">
        <v>41</v>
      </c>
      <c r="M10">
        <v>167</v>
      </c>
    </row>
    <row r="11" spans="1:13" x14ac:dyDescent="0.45">
      <c r="A11">
        <v>167</v>
      </c>
      <c r="B11">
        <v>158</v>
      </c>
      <c r="L11" t="s">
        <v>41</v>
      </c>
      <c r="M11">
        <v>163</v>
      </c>
    </row>
    <row r="12" spans="1:13" x14ac:dyDescent="0.45">
      <c r="A12">
        <v>163</v>
      </c>
      <c r="B12">
        <v>160</v>
      </c>
      <c r="L12" t="s">
        <v>41</v>
      </c>
      <c r="M12">
        <v>173</v>
      </c>
    </row>
    <row r="13" spans="1:13" x14ac:dyDescent="0.45">
      <c r="A13">
        <v>173</v>
      </c>
      <c r="B13">
        <v>165</v>
      </c>
      <c r="L13" t="s">
        <v>41</v>
      </c>
      <c r="M13">
        <v>178</v>
      </c>
    </row>
    <row r="14" spans="1:13" x14ac:dyDescent="0.45">
      <c r="A14">
        <v>178</v>
      </c>
      <c r="B14">
        <v>170</v>
      </c>
      <c r="L14" t="s">
        <v>41</v>
      </c>
      <c r="M14">
        <v>170</v>
      </c>
    </row>
    <row r="15" spans="1:13" x14ac:dyDescent="0.45">
      <c r="A15">
        <v>170</v>
      </c>
      <c r="B15">
        <v>152</v>
      </c>
      <c r="L15" t="s">
        <v>41</v>
      </c>
      <c r="M15">
        <v>167</v>
      </c>
    </row>
    <row r="16" spans="1:13" x14ac:dyDescent="0.45">
      <c r="A16">
        <v>167</v>
      </c>
      <c r="B16">
        <v>158</v>
      </c>
      <c r="L16" t="s">
        <v>41</v>
      </c>
      <c r="M16">
        <v>177</v>
      </c>
    </row>
    <row r="17" spans="1:13" x14ac:dyDescent="0.45">
      <c r="A17">
        <v>177</v>
      </c>
      <c r="B17">
        <v>160</v>
      </c>
      <c r="L17" t="s">
        <v>41</v>
      </c>
      <c r="M17">
        <v>176</v>
      </c>
    </row>
    <row r="18" spans="1:13" x14ac:dyDescent="0.45">
      <c r="A18">
        <v>176</v>
      </c>
      <c r="B18">
        <v>160</v>
      </c>
      <c r="L18" t="s">
        <v>41</v>
      </c>
      <c r="M18">
        <v>180</v>
      </c>
    </row>
    <row r="19" spans="1:13" x14ac:dyDescent="0.45">
      <c r="A19">
        <v>180</v>
      </c>
      <c r="B19">
        <v>159</v>
      </c>
      <c r="L19" t="s">
        <v>41</v>
      </c>
      <c r="M19">
        <v>169</v>
      </c>
    </row>
    <row r="20" spans="1:13" x14ac:dyDescent="0.45">
      <c r="A20">
        <v>169</v>
      </c>
      <c r="B20">
        <v>162</v>
      </c>
      <c r="L20" t="s">
        <v>41</v>
      </c>
      <c r="M20">
        <v>178</v>
      </c>
    </row>
    <row r="21" spans="1:13" x14ac:dyDescent="0.45">
      <c r="A21">
        <v>178</v>
      </c>
      <c r="B21">
        <v>160</v>
      </c>
      <c r="L21" t="s">
        <v>41</v>
      </c>
      <c r="M21">
        <v>173</v>
      </c>
    </row>
    <row r="22" spans="1:13" x14ac:dyDescent="0.45">
      <c r="A22">
        <v>173</v>
      </c>
      <c r="B22">
        <v>167</v>
      </c>
      <c r="L22" t="s">
        <v>41</v>
      </c>
      <c r="M22">
        <v>173</v>
      </c>
    </row>
    <row r="23" spans="1:13" x14ac:dyDescent="0.45">
      <c r="A23">
        <v>173</v>
      </c>
      <c r="B23">
        <v>168</v>
      </c>
      <c r="L23" t="s">
        <v>41</v>
      </c>
      <c r="M23">
        <v>171</v>
      </c>
    </row>
    <row r="24" spans="1:13" x14ac:dyDescent="0.45">
      <c r="A24">
        <v>171</v>
      </c>
      <c r="B24">
        <v>166</v>
      </c>
      <c r="L24" t="s">
        <v>41</v>
      </c>
      <c r="M24">
        <v>171</v>
      </c>
    </row>
    <row r="25" spans="1:13" x14ac:dyDescent="0.45">
      <c r="A25">
        <v>171</v>
      </c>
      <c r="B25">
        <v>164</v>
      </c>
      <c r="L25" t="s">
        <v>41</v>
      </c>
      <c r="M25">
        <v>170</v>
      </c>
    </row>
    <row r="26" spans="1:13" x14ac:dyDescent="0.45">
      <c r="A26">
        <v>170</v>
      </c>
      <c r="L26" t="s">
        <v>41</v>
      </c>
      <c r="M26">
        <v>174</v>
      </c>
    </row>
    <row r="27" spans="1:13" x14ac:dyDescent="0.45">
      <c r="A27">
        <v>174</v>
      </c>
      <c r="L27" t="s">
        <v>41</v>
      </c>
      <c r="M27">
        <v>180</v>
      </c>
    </row>
    <row r="28" spans="1:13" x14ac:dyDescent="0.45">
      <c r="A28">
        <v>180</v>
      </c>
      <c r="L28" t="s">
        <v>42</v>
      </c>
      <c r="M28">
        <v>161</v>
      </c>
    </row>
    <row r="29" spans="1:13" x14ac:dyDescent="0.45">
      <c r="L29" t="s">
        <v>42</v>
      </c>
      <c r="M29">
        <v>160</v>
      </c>
    </row>
    <row r="30" spans="1:13" x14ac:dyDescent="0.45">
      <c r="L30" t="s">
        <v>42</v>
      </c>
      <c r="M30">
        <v>158</v>
      </c>
    </row>
    <row r="31" spans="1:13" x14ac:dyDescent="0.45">
      <c r="L31" t="s">
        <v>42</v>
      </c>
      <c r="M31">
        <v>169</v>
      </c>
    </row>
    <row r="32" spans="1:13" x14ac:dyDescent="0.45">
      <c r="L32" t="s">
        <v>42</v>
      </c>
      <c r="M32">
        <v>162</v>
      </c>
    </row>
    <row r="33" spans="12:13" x14ac:dyDescent="0.45">
      <c r="L33" t="s">
        <v>42</v>
      </c>
      <c r="M33">
        <v>163</v>
      </c>
    </row>
    <row r="34" spans="12:13" x14ac:dyDescent="0.45">
      <c r="L34" t="s">
        <v>42</v>
      </c>
      <c r="M34">
        <v>158</v>
      </c>
    </row>
    <row r="35" spans="12:13" x14ac:dyDescent="0.45">
      <c r="L35" t="s">
        <v>42</v>
      </c>
      <c r="M35">
        <v>160</v>
      </c>
    </row>
    <row r="36" spans="12:13" x14ac:dyDescent="0.45">
      <c r="L36" t="s">
        <v>42</v>
      </c>
      <c r="M36">
        <v>160</v>
      </c>
    </row>
    <row r="37" spans="12:13" x14ac:dyDescent="0.45">
      <c r="L37" t="s">
        <v>42</v>
      </c>
      <c r="M37">
        <v>158</v>
      </c>
    </row>
    <row r="38" spans="12:13" x14ac:dyDescent="0.45">
      <c r="L38" t="s">
        <v>42</v>
      </c>
      <c r="M38">
        <v>160</v>
      </c>
    </row>
    <row r="39" spans="12:13" x14ac:dyDescent="0.45">
      <c r="L39" t="s">
        <v>42</v>
      </c>
      <c r="M39">
        <v>165</v>
      </c>
    </row>
    <row r="40" spans="12:13" x14ac:dyDescent="0.45">
      <c r="L40" t="s">
        <v>42</v>
      </c>
      <c r="M40">
        <v>170</v>
      </c>
    </row>
    <row r="41" spans="12:13" x14ac:dyDescent="0.45">
      <c r="L41" t="s">
        <v>42</v>
      </c>
      <c r="M41">
        <v>152</v>
      </c>
    </row>
    <row r="42" spans="12:13" x14ac:dyDescent="0.45">
      <c r="L42" t="s">
        <v>42</v>
      </c>
      <c r="M42">
        <v>158</v>
      </c>
    </row>
    <row r="43" spans="12:13" x14ac:dyDescent="0.45">
      <c r="L43" t="s">
        <v>42</v>
      </c>
      <c r="M43">
        <v>160</v>
      </c>
    </row>
    <row r="44" spans="12:13" x14ac:dyDescent="0.45">
      <c r="L44" t="s">
        <v>42</v>
      </c>
      <c r="M44">
        <v>160</v>
      </c>
    </row>
    <row r="45" spans="12:13" x14ac:dyDescent="0.45">
      <c r="L45" t="s">
        <v>42</v>
      </c>
      <c r="M45">
        <v>159</v>
      </c>
    </row>
    <row r="46" spans="12:13" x14ac:dyDescent="0.45">
      <c r="L46" t="s">
        <v>42</v>
      </c>
      <c r="M46">
        <v>162</v>
      </c>
    </row>
    <row r="47" spans="12:13" x14ac:dyDescent="0.45">
      <c r="L47" t="s">
        <v>42</v>
      </c>
      <c r="M47">
        <v>160</v>
      </c>
    </row>
    <row r="48" spans="12:13" x14ac:dyDescent="0.45">
      <c r="L48" t="s">
        <v>42</v>
      </c>
      <c r="M48">
        <v>167</v>
      </c>
    </row>
    <row r="49" spans="12:13" x14ac:dyDescent="0.45">
      <c r="L49" t="s">
        <v>42</v>
      </c>
      <c r="M49">
        <v>168</v>
      </c>
    </row>
    <row r="50" spans="12:13" x14ac:dyDescent="0.45">
      <c r="L50" t="s">
        <v>42</v>
      </c>
      <c r="M50">
        <v>166</v>
      </c>
    </row>
    <row r="51" spans="12:13" x14ac:dyDescent="0.45">
      <c r="L51" t="s">
        <v>42</v>
      </c>
      <c r="M51">
        <v>164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895C-A4B9-4FCD-B19E-705D303CEBED}">
  <dimension ref="A1:J40"/>
  <sheetViews>
    <sheetView topLeftCell="A2" workbookViewId="0">
      <selection activeCell="L18" sqref="L18"/>
    </sheetView>
  </sheetViews>
  <sheetFormatPr defaultRowHeight="17" x14ac:dyDescent="0.45"/>
  <cols>
    <col min="5" max="5" width="11.4140625" bestFit="1" customWidth="1"/>
  </cols>
  <sheetData>
    <row r="1" spans="1:10" x14ac:dyDescent="0.45">
      <c r="A1">
        <v>4.8</v>
      </c>
      <c r="B1">
        <v>5.8</v>
      </c>
      <c r="E1" t="s">
        <v>12</v>
      </c>
      <c r="F1">
        <f>(B20+B21)/2</f>
        <v>4.8</v>
      </c>
      <c r="G1">
        <f>MEDIAN(A1:A40)</f>
        <v>4.8</v>
      </c>
    </row>
    <row r="2" spans="1:10" x14ac:dyDescent="0.45">
      <c r="A2">
        <v>4.75</v>
      </c>
      <c r="B2">
        <v>5.78</v>
      </c>
      <c r="E2" t="s">
        <v>15</v>
      </c>
      <c r="F2">
        <f>_xlfn.QUARTILE.INC(B1:B40,1)</f>
        <v>4.6450000000000005</v>
      </c>
    </row>
    <row r="3" spans="1:10" x14ac:dyDescent="0.45">
      <c r="A3">
        <v>4.92</v>
      </c>
      <c r="B3">
        <v>5.56</v>
      </c>
      <c r="E3" t="s">
        <v>16</v>
      </c>
      <c r="F3">
        <f>_xlfn.QUARTILE.INC(B1:B40,3)</f>
        <v>4.9625000000000004</v>
      </c>
    </row>
    <row r="4" spans="1:10" x14ac:dyDescent="0.45">
      <c r="A4">
        <v>4.8</v>
      </c>
      <c r="B4">
        <v>5.5</v>
      </c>
      <c r="E4" t="s">
        <v>45</v>
      </c>
      <c r="F4">
        <f>F3-F2</f>
        <v>0.31749999999999989</v>
      </c>
    </row>
    <row r="5" spans="1:10" x14ac:dyDescent="0.45">
      <c r="A5">
        <v>5.8</v>
      </c>
      <c r="B5">
        <v>5.37</v>
      </c>
    </row>
    <row r="6" spans="1:10" x14ac:dyDescent="0.45">
      <c r="A6">
        <v>4.8</v>
      </c>
      <c r="B6">
        <v>5.0199999999999996</v>
      </c>
      <c r="E6" t="s">
        <v>46</v>
      </c>
      <c r="F6">
        <f>_xlfn.PERCENTILE.INC(A1:A40,0.9)</f>
        <v>5.383</v>
      </c>
    </row>
    <row r="7" spans="1:10" x14ac:dyDescent="0.45">
      <c r="A7">
        <v>4.3099999999999996</v>
      </c>
      <c r="B7">
        <v>5</v>
      </c>
    </row>
    <row r="8" spans="1:10" x14ac:dyDescent="0.45">
      <c r="A8">
        <v>5.5</v>
      </c>
      <c r="B8">
        <v>5</v>
      </c>
      <c r="E8" t="s">
        <v>19</v>
      </c>
      <c r="F8">
        <f>SUM(A1:A40)/COUNT(A1:A40)</f>
        <v>4.8377500000000015</v>
      </c>
      <c r="G8">
        <f>AVERAGE(A1:A40)</f>
        <v>4.8377500000000015</v>
      </c>
      <c r="I8" t="s">
        <v>198</v>
      </c>
      <c r="J8">
        <f>_xlfn.VAR.S(A1:A40)</f>
        <v>0.12523839743589746</v>
      </c>
    </row>
    <row r="9" spans="1:10" x14ac:dyDescent="0.45">
      <c r="A9">
        <v>5</v>
      </c>
      <c r="B9">
        <v>5</v>
      </c>
      <c r="E9" t="s">
        <v>20</v>
      </c>
      <c r="F9">
        <f>_xlfn.STDEV.S(A1:A40)</f>
        <v>0.35389037488450781</v>
      </c>
      <c r="I9" t="s">
        <v>18</v>
      </c>
      <c r="J9">
        <f>F9/G8</f>
        <v>7.3151852593562647E-2</v>
      </c>
    </row>
    <row r="10" spans="1:10" x14ac:dyDescent="0.45">
      <c r="A10">
        <v>4.57</v>
      </c>
      <c r="B10">
        <v>5</v>
      </c>
    </row>
    <row r="11" spans="1:10" x14ac:dyDescent="0.45">
      <c r="A11">
        <v>4.9000000000000004</v>
      </c>
      <c r="B11">
        <v>4.95</v>
      </c>
    </row>
    <row r="12" spans="1:10" x14ac:dyDescent="0.45">
      <c r="A12">
        <v>4.63</v>
      </c>
      <c r="B12">
        <v>4.92</v>
      </c>
    </row>
    <row r="13" spans="1:10" x14ac:dyDescent="0.45">
      <c r="A13">
        <v>4.6500000000000004</v>
      </c>
      <c r="B13">
        <v>4.92</v>
      </c>
    </row>
    <row r="14" spans="1:10" x14ac:dyDescent="0.45">
      <c r="A14">
        <v>4.91</v>
      </c>
      <c r="B14">
        <v>4.91</v>
      </c>
    </row>
    <row r="15" spans="1:10" x14ac:dyDescent="0.45">
      <c r="A15">
        <v>4.3499999999999996</v>
      </c>
      <c r="B15">
        <v>4.9000000000000004</v>
      </c>
    </row>
    <row r="16" spans="1:10" x14ac:dyDescent="0.45">
      <c r="A16">
        <v>4.42</v>
      </c>
      <c r="B16">
        <v>4.82</v>
      </c>
    </row>
    <row r="17" spans="1:2" x14ac:dyDescent="0.45">
      <c r="A17">
        <v>5.78</v>
      </c>
      <c r="B17">
        <v>4.82</v>
      </c>
    </row>
    <row r="18" spans="1:2" x14ac:dyDescent="0.45">
      <c r="A18">
        <v>4.95</v>
      </c>
      <c r="B18">
        <v>4.8099999999999996</v>
      </c>
    </row>
    <row r="19" spans="1:2" x14ac:dyDescent="0.45">
      <c r="A19">
        <v>4.92</v>
      </c>
      <c r="B19">
        <v>4.8</v>
      </c>
    </row>
    <row r="20" spans="1:2" x14ac:dyDescent="0.45">
      <c r="A20">
        <v>4.82</v>
      </c>
      <c r="B20">
        <v>4.8</v>
      </c>
    </row>
    <row r="21" spans="1:2" x14ac:dyDescent="0.45">
      <c r="A21">
        <v>4.8</v>
      </c>
      <c r="B21">
        <v>4.8</v>
      </c>
    </row>
    <row r="22" spans="1:2" x14ac:dyDescent="0.45">
      <c r="A22">
        <v>4.5</v>
      </c>
      <c r="B22">
        <v>4.8</v>
      </c>
    </row>
    <row r="23" spans="1:2" x14ac:dyDescent="0.45">
      <c r="A23">
        <v>5</v>
      </c>
      <c r="B23">
        <v>4.75</v>
      </c>
    </row>
    <row r="24" spans="1:2" x14ac:dyDescent="0.45">
      <c r="A24">
        <v>4.6500000000000004</v>
      </c>
      <c r="B24">
        <v>4.75</v>
      </c>
    </row>
    <row r="25" spans="1:2" x14ac:dyDescent="0.45">
      <c r="A25">
        <v>5.37</v>
      </c>
      <c r="B25">
        <v>4.72</v>
      </c>
    </row>
    <row r="26" spans="1:2" x14ac:dyDescent="0.45">
      <c r="A26">
        <v>4.75</v>
      </c>
      <c r="B26">
        <v>4.71</v>
      </c>
    </row>
    <row r="27" spans="1:2" x14ac:dyDescent="0.45">
      <c r="A27">
        <v>4.4800000000000004</v>
      </c>
      <c r="B27">
        <v>4.6500000000000004</v>
      </c>
    </row>
    <row r="28" spans="1:2" x14ac:dyDescent="0.45">
      <c r="A28">
        <v>4.82</v>
      </c>
      <c r="B28">
        <v>4.6500000000000004</v>
      </c>
    </row>
    <row r="29" spans="1:2" x14ac:dyDescent="0.45">
      <c r="A29">
        <v>4.8099999999999996</v>
      </c>
      <c r="B29">
        <v>4.6500000000000004</v>
      </c>
    </row>
    <row r="30" spans="1:2" x14ac:dyDescent="0.45">
      <c r="A30">
        <v>4.51</v>
      </c>
      <c r="B30">
        <v>4.6500000000000004</v>
      </c>
    </row>
    <row r="31" spans="1:2" x14ac:dyDescent="0.45">
      <c r="A31">
        <v>4.6500000000000004</v>
      </c>
      <c r="B31">
        <v>4.63</v>
      </c>
    </row>
    <row r="32" spans="1:2" x14ac:dyDescent="0.45">
      <c r="A32">
        <v>5.0199999999999996</v>
      </c>
      <c r="B32">
        <v>4.58</v>
      </c>
    </row>
    <row r="33" spans="1:2" x14ac:dyDescent="0.45">
      <c r="A33">
        <v>4.3499999999999996</v>
      </c>
      <c r="B33">
        <v>4.57</v>
      </c>
    </row>
    <row r="34" spans="1:2" x14ac:dyDescent="0.45">
      <c r="A34">
        <v>4.71</v>
      </c>
      <c r="B34">
        <v>4.51</v>
      </c>
    </row>
    <row r="35" spans="1:2" x14ac:dyDescent="0.45">
      <c r="A35">
        <v>4.72</v>
      </c>
      <c r="B35">
        <v>4.5</v>
      </c>
    </row>
    <row r="36" spans="1:2" x14ac:dyDescent="0.45">
      <c r="A36">
        <v>5</v>
      </c>
      <c r="B36">
        <v>4.4800000000000004</v>
      </c>
    </row>
    <row r="37" spans="1:2" x14ac:dyDescent="0.45">
      <c r="A37">
        <v>5</v>
      </c>
      <c r="B37">
        <v>4.42</v>
      </c>
    </row>
    <row r="38" spans="1:2" x14ac:dyDescent="0.45">
      <c r="A38">
        <v>4.6500000000000004</v>
      </c>
      <c r="B38">
        <v>4.3499999999999996</v>
      </c>
    </row>
    <row r="39" spans="1:2" x14ac:dyDescent="0.45">
      <c r="A39">
        <v>4.58</v>
      </c>
      <c r="B39">
        <v>4.3499999999999996</v>
      </c>
    </row>
    <row r="40" spans="1:2" x14ac:dyDescent="0.45">
      <c r="A40">
        <v>5.56</v>
      </c>
      <c r="B40">
        <v>4.3099999999999996</v>
      </c>
    </row>
  </sheetData>
  <sortState xmlns:xlrd2="http://schemas.microsoft.com/office/spreadsheetml/2017/richdata2" ref="B1:B40">
    <sortCondition descending="1" ref="B1:B40"/>
  </sortState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D569-2656-43CA-BF06-72F11EC48D95}">
  <dimension ref="A1:U24"/>
  <sheetViews>
    <sheetView workbookViewId="0">
      <selection activeCell="N16" sqref="N16"/>
    </sheetView>
  </sheetViews>
  <sheetFormatPr defaultRowHeight="17" x14ac:dyDescent="0.45"/>
  <cols>
    <col min="1" max="1" width="9.83203125" bestFit="1" customWidth="1"/>
    <col min="2" max="3" width="14.08203125" bestFit="1" customWidth="1"/>
    <col min="4" max="4" width="13.75" bestFit="1" customWidth="1"/>
    <col min="17" max="17" width="16.5" customWidth="1"/>
    <col min="19" max="19" width="10.4140625" bestFit="1" customWidth="1"/>
    <col min="21" max="21" width="52.25" customWidth="1"/>
  </cols>
  <sheetData>
    <row r="1" spans="1:21" ht="32" thickTop="1" thickBot="1" x14ac:dyDescent="0.5">
      <c r="A1" s="3"/>
      <c r="B1" s="4" t="s">
        <v>47</v>
      </c>
      <c r="C1" s="4" t="s">
        <v>48</v>
      </c>
      <c r="D1" s="4" t="s">
        <v>49</v>
      </c>
      <c r="E1" s="5" t="s">
        <v>50</v>
      </c>
      <c r="P1" s="13" t="s">
        <v>56</v>
      </c>
      <c r="Q1" s="13" t="s">
        <v>57</v>
      </c>
      <c r="S1" t="s">
        <v>58</v>
      </c>
      <c r="T1">
        <f>_xlfn.COVARIANCE.S(P2:P11,Q2:Q11)</f>
        <v>26.867333333333335</v>
      </c>
    </row>
    <row r="2" spans="1:21" ht="31.5" thickBot="1" x14ac:dyDescent="0.5">
      <c r="A2" s="6" t="s">
        <v>51</v>
      </c>
      <c r="B2" s="7">
        <v>81</v>
      </c>
      <c r="C2" s="7">
        <v>63</v>
      </c>
      <c r="D2" s="7">
        <v>56</v>
      </c>
      <c r="E2" s="8">
        <v>200</v>
      </c>
      <c r="P2" s="13">
        <v>169.6</v>
      </c>
      <c r="Q2" s="13">
        <v>62.2</v>
      </c>
      <c r="S2" t="s">
        <v>59</v>
      </c>
      <c r="T2">
        <f>_xlfn.COVARIANCE.P(P2:P11,Q2:Q11)</f>
        <v>24.180600000000002</v>
      </c>
    </row>
    <row r="3" spans="1:21" ht="51.5" thickBot="1" x14ac:dyDescent="0.5">
      <c r="A3" s="6" t="s">
        <v>52</v>
      </c>
      <c r="B3" s="7">
        <v>49</v>
      </c>
      <c r="C3" s="7">
        <v>57</v>
      </c>
      <c r="D3" s="7">
        <v>44</v>
      </c>
      <c r="E3" s="8">
        <v>150</v>
      </c>
      <c r="P3" s="13">
        <v>166.8</v>
      </c>
      <c r="Q3" s="13">
        <v>58.2</v>
      </c>
      <c r="S3" t="s">
        <v>60</v>
      </c>
      <c r="T3">
        <f>CORREL(P2:P11,Q2:Q11)</f>
        <v>0.78694617440842829</v>
      </c>
      <c r="U3" s="14" t="s">
        <v>61</v>
      </c>
    </row>
    <row r="4" spans="1:21" ht="31.5" thickBot="1" x14ac:dyDescent="0.5">
      <c r="A4" s="9" t="s">
        <v>50</v>
      </c>
      <c r="B4" s="10">
        <v>130</v>
      </c>
      <c r="C4" s="10">
        <v>120</v>
      </c>
      <c r="D4" s="10">
        <v>100</v>
      </c>
      <c r="E4" s="11">
        <v>350</v>
      </c>
      <c r="P4" s="13">
        <v>157.1</v>
      </c>
      <c r="Q4" s="13">
        <v>56</v>
      </c>
    </row>
    <row r="5" spans="1:21" ht="32" thickTop="1" thickBot="1" x14ac:dyDescent="0.5">
      <c r="P5" s="13">
        <v>181.1</v>
      </c>
      <c r="Q5" s="13">
        <v>64.5</v>
      </c>
    </row>
    <row r="6" spans="1:21" ht="31.5" thickBot="1" x14ac:dyDescent="0.5">
      <c r="P6" s="13">
        <v>158.4</v>
      </c>
      <c r="Q6" s="13">
        <v>53</v>
      </c>
    </row>
    <row r="7" spans="1:21" ht="31.5" thickBot="1" x14ac:dyDescent="0.5">
      <c r="P7" s="13">
        <v>165.6</v>
      </c>
      <c r="Q7" s="13">
        <v>52.4</v>
      </c>
    </row>
    <row r="8" spans="1:21" ht="31.5" thickBot="1" x14ac:dyDescent="0.5">
      <c r="P8" s="13">
        <v>166.7</v>
      </c>
      <c r="Q8" s="13">
        <v>56.8</v>
      </c>
    </row>
    <row r="9" spans="1:21" ht="31.5" thickBot="1" x14ac:dyDescent="0.5">
      <c r="P9" s="13">
        <v>156.5</v>
      </c>
      <c r="Q9" s="13">
        <v>49.2</v>
      </c>
    </row>
    <row r="10" spans="1:21" ht="31.5" thickBot="1" x14ac:dyDescent="0.5">
      <c r="P10" s="13">
        <v>168.1</v>
      </c>
      <c r="Q10" s="13">
        <v>55.6</v>
      </c>
    </row>
    <row r="11" spans="1:21" ht="31.5" thickBot="1" x14ac:dyDescent="0.5">
      <c r="P11" s="13">
        <v>165.3</v>
      </c>
      <c r="Q11" s="13">
        <v>60.8</v>
      </c>
    </row>
    <row r="13" spans="1:21" ht="17.5" thickBot="1" x14ac:dyDescent="0.5"/>
    <row r="14" spans="1:21" ht="36.5" thickBot="1" x14ac:dyDescent="0.5">
      <c r="A14" s="12" t="s">
        <v>53</v>
      </c>
      <c r="B14" s="12" t="s">
        <v>54</v>
      </c>
      <c r="C14" s="12" t="s">
        <v>55</v>
      </c>
      <c r="P14" s="13" t="s">
        <v>56</v>
      </c>
      <c r="Q14" s="13" t="s">
        <v>57</v>
      </c>
      <c r="S14" t="s">
        <v>60</v>
      </c>
      <c r="T14">
        <f>CORREL(P15:P24,Q15:Q24)</f>
        <v>0.78694617440842829</v>
      </c>
    </row>
    <row r="15" spans="1:21" ht="36.5" thickBot="1" x14ac:dyDescent="0.5">
      <c r="A15" s="12">
        <v>1</v>
      </c>
      <c r="B15" s="12">
        <v>1</v>
      </c>
      <c r="C15" s="12">
        <v>2.5</v>
      </c>
      <c r="P15" s="13">
        <v>169.6</v>
      </c>
      <c r="Q15" s="13">
        <v>62.2</v>
      </c>
    </row>
    <row r="16" spans="1:21" ht="36.5" thickBot="1" x14ac:dyDescent="0.5">
      <c r="A16" s="12">
        <v>2</v>
      </c>
      <c r="B16" s="12">
        <v>1.6</v>
      </c>
      <c r="C16" s="12">
        <v>2.6</v>
      </c>
      <c r="P16" s="13">
        <v>166.8</v>
      </c>
      <c r="Q16" s="13">
        <v>58.2</v>
      </c>
    </row>
    <row r="17" spans="1:17" ht="36.5" thickBot="1" x14ac:dyDescent="0.5">
      <c r="A17" s="12">
        <v>3</v>
      </c>
      <c r="B17" s="12">
        <v>2.5</v>
      </c>
      <c r="C17" s="12">
        <v>2.7</v>
      </c>
      <c r="P17" s="13">
        <v>157.1</v>
      </c>
      <c r="Q17" s="13">
        <v>56</v>
      </c>
    </row>
    <row r="18" spans="1:17" ht="36.5" thickBot="1" x14ac:dyDescent="0.5">
      <c r="A18" s="12">
        <v>4</v>
      </c>
      <c r="B18" s="12">
        <v>3</v>
      </c>
      <c r="C18" s="12">
        <v>5</v>
      </c>
      <c r="P18" s="13">
        <v>181.1</v>
      </c>
      <c r="Q18" s="13">
        <v>64.5</v>
      </c>
    </row>
    <row r="19" spans="1:17" ht="36.5" thickBot="1" x14ac:dyDescent="0.5">
      <c r="A19" s="12">
        <v>5</v>
      </c>
      <c r="B19" s="12">
        <v>4</v>
      </c>
      <c r="C19" s="12">
        <v>5.3</v>
      </c>
      <c r="P19" s="13">
        <v>158.4</v>
      </c>
      <c r="Q19" s="13">
        <v>53</v>
      </c>
    </row>
    <row r="20" spans="1:17" ht="36.5" thickBot="1" x14ac:dyDescent="0.5">
      <c r="A20" s="12">
        <v>6</v>
      </c>
      <c r="B20" s="12">
        <v>4.5999999999999996</v>
      </c>
      <c r="C20" s="12">
        <v>9.1</v>
      </c>
      <c r="P20" s="13">
        <v>165.6</v>
      </c>
      <c r="Q20" s="13">
        <v>52.4</v>
      </c>
    </row>
    <row r="21" spans="1:17" ht="36.5" thickBot="1" x14ac:dyDescent="0.5">
      <c r="A21" s="12">
        <v>7</v>
      </c>
      <c r="B21" s="12">
        <v>5</v>
      </c>
      <c r="C21" s="12">
        <v>14.8</v>
      </c>
      <c r="E21" t="s">
        <v>60</v>
      </c>
      <c r="F21">
        <f>CORREL(B15:B24, C15:C24)</f>
        <v>0.92546590764984604</v>
      </c>
      <c r="P21" s="13">
        <v>166.7</v>
      </c>
      <c r="Q21" s="13">
        <v>56.8</v>
      </c>
    </row>
    <row r="22" spans="1:17" ht="36.5" thickBot="1" x14ac:dyDescent="0.5">
      <c r="A22" s="12">
        <v>8</v>
      </c>
      <c r="B22" s="12">
        <v>5.7</v>
      </c>
      <c r="C22" s="12">
        <v>17.5</v>
      </c>
      <c r="P22" s="13">
        <v>156.5</v>
      </c>
      <c r="Q22" s="13">
        <v>49.2</v>
      </c>
    </row>
    <row r="23" spans="1:17" ht="36.5" thickBot="1" x14ac:dyDescent="0.5">
      <c r="A23" s="12">
        <v>9</v>
      </c>
      <c r="B23" s="12">
        <v>6</v>
      </c>
      <c r="C23" s="12">
        <v>23</v>
      </c>
      <c r="P23" s="13">
        <v>168.1</v>
      </c>
      <c r="Q23" s="13">
        <v>55.6</v>
      </c>
    </row>
    <row r="24" spans="1:17" ht="36.5" thickBot="1" x14ac:dyDescent="0.5">
      <c r="A24" s="12">
        <v>10</v>
      </c>
      <c r="B24" s="12">
        <v>7</v>
      </c>
      <c r="C24" s="12">
        <v>28</v>
      </c>
      <c r="P24" s="13">
        <v>165.3</v>
      </c>
      <c r="Q24" s="13">
        <v>60.8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99F2-C89C-4F92-8CBA-6645EC1FACD5}">
  <dimension ref="A1:I46"/>
  <sheetViews>
    <sheetView topLeftCell="A11" workbookViewId="0">
      <selection activeCell="R24" sqref="R24"/>
    </sheetView>
  </sheetViews>
  <sheetFormatPr defaultRowHeight="17" x14ac:dyDescent="0.45"/>
  <cols>
    <col min="1" max="1" width="8.58203125" customWidth="1"/>
    <col min="2" max="2" width="10.4140625" customWidth="1"/>
    <col min="3" max="3" width="11.1640625" customWidth="1"/>
    <col min="5" max="5" width="14.75" customWidth="1"/>
  </cols>
  <sheetData>
    <row r="1" spans="1:9" x14ac:dyDescent="0.45">
      <c r="A1" s="15" t="s">
        <v>62</v>
      </c>
      <c r="B1" s="15" t="s">
        <v>63</v>
      </c>
      <c r="C1" s="15" t="s">
        <v>64</v>
      </c>
      <c r="F1" s="18" t="s">
        <v>71</v>
      </c>
      <c r="G1" s="19" t="s">
        <v>72</v>
      </c>
    </row>
    <row r="2" spans="1:9" x14ac:dyDescent="0.45">
      <c r="A2" s="16" t="s">
        <v>65</v>
      </c>
      <c r="B2" s="16">
        <v>26461</v>
      </c>
      <c r="C2" s="16">
        <v>25326</v>
      </c>
      <c r="E2" s="18" t="s">
        <v>68</v>
      </c>
      <c r="F2">
        <f>B2/$B$5</f>
        <v>0.29458719273245459</v>
      </c>
      <c r="G2">
        <f>C2/$C$5</f>
        <v>0.23360667078671377</v>
      </c>
    </row>
    <row r="3" spans="1:9" x14ac:dyDescent="0.45">
      <c r="A3" s="16" t="s">
        <v>66</v>
      </c>
      <c r="B3" s="16">
        <v>47416</v>
      </c>
      <c r="C3" s="16">
        <v>65318</v>
      </c>
      <c r="E3" t="s">
        <v>69</v>
      </c>
      <c r="F3">
        <f>B3/$B$5</f>
        <v>0.52787673672960456</v>
      </c>
      <c r="G3">
        <f t="shared" ref="G3:G4" si="0">C3/$C$5</f>
        <v>0.60249232103161054</v>
      </c>
    </row>
    <row r="4" spans="1:9" x14ac:dyDescent="0.45">
      <c r="A4" s="16" t="s">
        <v>67</v>
      </c>
      <c r="B4" s="16">
        <v>15947</v>
      </c>
      <c r="C4" s="16">
        <v>17769</v>
      </c>
      <c r="E4" t="s">
        <v>70</v>
      </c>
      <c r="F4">
        <f>B4/$B$5</f>
        <v>0.17753607053794085</v>
      </c>
      <c r="G4">
        <f t="shared" si="0"/>
        <v>0.16390100818167563</v>
      </c>
    </row>
    <row r="5" spans="1:9" x14ac:dyDescent="0.45">
      <c r="A5" s="17" t="s">
        <v>50</v>
      </c>
      <c r="B5" s="17">
        <v>89824</v>
      </c>
      <c r="C5" s="17">
        <v>108413</v>
      </c>
    </row>
    <row r="9" spans="1:9" x14ac:dyDescent="0.45">
      <c r="A9" s="20" t="e" vm="1">
        <v>#VALUE!</v>
      </c>
      <c r="B9" s="20" t="e" vm="1">
        <v>#VALUE!</v>
      </c>
      <c r="C9" s="20" t="e" vm="1">
        <v>#VALUE!</v>
      </c>
      <c r="D9" s="20" t="e" vm="1">
        <v>#VALUE!</v>
      </c>
      <c r="E9" s="20" t="e" vm="1">
        <v>#VALUE!</v>
      </c>
      <c r="F9" s="20" t="e" vm="1">
        <v>#VALUE!</v>
      </c>
    </row>
    <row r="10" spans="1:9" x14ac:dyDescent="0.45">
      <c r="A10" s="15" t="s">
        <v>73</v>
      </c>
      <c r="B10" s="15" t="s">
        <v>74</v>
      </c>
      <c r="C10" s="15" t="s">
        <v>73</v>
      </c>
      <c r="D10" s="15" t="s">
        <v>74</v>
      </c>
      <c r="E10" s="15" t="s">
        <v>73</v>
      </c>
      <c r="F10" s="15" t="s">
        <v>74</v>
      </c>
      <c r="H10" s="18" t="s">
        <v>75</v>
      </c>
      <c r="I10">
        <f>CORREL(A11:A46,B11:B46)</f>
        <v>0.40866722031239405</v>
      </c>
    </row>
    <row r="11" spans="1:9" x14ac:dyDescent="0.45">
      <c r="A11" s="16">
        <v>41</v>
      </c>
      <c r="B11" s="16">
        <v>29</v>
      </c>
      <c r="C11" s="16">
        <v>53</v>
      </c>
      <c r="D11" s="16">
        <v>28</v>
      </c>
      <c r="E11" s="16">
        <v>56</v>
      </c>
      <c r="F11" s="16">
        <v>34</v>
      </c>
    </row>
    <row r="12" spans="1:9" x14ac:dyDescent="0.45">
      <c r="A12" s="16">
        <v>39</v>
      </c>
      <c r="B12" s="16">
        <v>19</v>
      </c>
      <c r="C12" s="16">
        <v>62</v>
      </c>
      <c r="D12" s="16">
        <v>22</v>
      </c>
      <c r="E12" s="16">
        <v>38</v>
      </c>
      <c r="F12" s="16">
        <v>21</v>
      </c>
    </row>
    <row r="13" spans="1:9" x14ac:dyDescent="0.45">
      <c r="A13" s="16">
        <v>53</v>
      </c>
      <c r="B13" s="16">
        <v>30</v>
      </c>
      <c r="C13" s="16">
        <v>65</v>
      </c>
      <c r="D13" s="16">
        <v>27</v>
      </c>
      <c r="E13" s="16">
        <v>52</v>
      </c>
      <c r="F13" s="16">
        <v>25</v>
      </c>
    </row>
    <row r="14" spans="1:9" x14ac:dyDescent="0.45">
      <c r="A14" s="16">
        <v>67</v>
      </c>
      <c r="B14" s="16">
        <v>27</v>
      </c>
      <c r="C14" s="16">
        <v>48</v>
      </c>
      <c r="D14" s="16">
        <v>22</v>
      </c>
      <c r="E14" s="16">
        <v>40</v>
      </c>
      <c r="F14" s="16">
        <v>24</v>
      </c>
    </row>
    <row r="15" spans="1:9" x14ac:dyDescent="0.45">
      <c r="A15" s="16">
        <v>61</v>
      </c>
      <c r="B15" s="16">
        <v>28</v>
      </c>
      <c r="C15" s="16">
        <v>32</v>
      </c>
      <c r="D15" s="16">
        <v>27</v>
      </c>
      <c r="E15" s="16">
        <v>65</v>
      </c>
      <c r="F15" s="16">
        <v>32</v>
      </c>
    </row>
    <row r="16" spans="1:9" x14ac:dyDescent="0.45">
      <c r="A16" s="16">
        <v>67</v>
      </c>
      <c r="B16" s="16">
        <v>27</v>
      </c>
      <c r="C16" s="16">
        <v>64</v>
      </c>
      <c r="D16" s="16">
        <v>28</v>
      </c>
      <c r="E16" s="16">
        <v>61</v>
      </c>
      <c r="F16" s="16">
        <v>29</v>
      </c>
    </row>
    <row r="17" spans="1:6" x14ac:dyDescent="0.45">
      <c r="A17" s="16">
        <v>46</v>
      </c>
      <c r="B17" s="16">
        <v>22</v>
      </c>
      <c r="C17" s="16">
        <v>59</v>
      </c>
      <c r="D17" s="16">
        <v>30</v>
      </c>
      <c r="E17" s="16">
        <v>64</v>
      </c>
      <c r="F17" s="16">
        <v>27</v>
      </c>
    </row>
    <row r="18" spans="1:6" x14ac:dyDescent="0.45">
      <c r="A18" s="16">
        <v>50</v>
      </c>
      <c r="B18" s="16">
        <v>29</v>
      </c>
      <c r="C18" s="16">
        <v>54</v>
      </c>
      <c r="D18" s="16">
        <v>29</v>
      </c>
      <c r="E18" s="16">
        <v>64</v>
      </c>
      <c r="F18" s="16">
        <v>26</v>
      </c>
    </row>
    <row r="19" spans="1:6" x14ac:dyDescent="0.45">
      <c r="A19" s="16">
        <v>55</v>
      </c>
      <c r="B19" s="16">
        <v>24</v>
      </c>
      <c r="C19" s="16">
        <v>52</v>
      </c>
      <c r="D19" s="16">
        <v>21</v>
      </c>
      <c r="E19" s="16">
        <v>53</v>
      </c>
      <c r="F19" s="16">
        <v>24</v>
      </c>
    </row>
    <row r="20" spans="1:6" x14ac:dyDescent="0.45">
      <c r="A20" s="16">
        <v>72</v>
      </c>
      <c r="B20" s="16">
        <v>33</v>
      </c>
      <c r="C20" s="16">
        <v>64</v>
      </c>
      <c r="D20" s="16">
        <v>26</v>
      </c>
      <c r="E20" s="16">
        <v>51</v>
      </c>
      <c r="F20" s="16">
        <v>25</v>
      </c>
    </row>
    <row r="21" spans="1:6" x14ac:dyDescent="0.45">
      <c r="A21" s="16">
        <v>63</v>
      </c>
      <c r="B21" s="16">
        <v>25</v>
      </c>
      <c r="C21" s="16">
        <v>51</v>
      </c>
      <c r="D21" s="16">
        <v>20</v>
      </c>
      <c r="E21" s="16">
        <v>58</v>
      </c>
      <c r="F21" s="16">
        <v>34</v>
      </c>
    </row>
    <row r="22" spans="1:6" x14ac:dyDescent="0.45">
      <c r="A22" s="16">
        <v>59</v>
      </c>
      <c r="B22" s="16">
        <v>20</v>
      </c>
      <c r="C22" s="16">
        <v>62</v>
      </c>
      <c r="D22" s="16">
        <v>29</v>
      </c>
      <c r="E22" s="16">
        <v>65</v>
      </c>
      <c r="F22" s="16">
        <v>28</v>
      </c>
    </row>
    <row r="23" spans="1:6" x14ac:dyDescent="0.45">
      <c r="A23" s="16">
        <v>53</v>
      </c>
      <c r="B23" s="16">
        <v>28</v>
      </c>
    </row>
    <row r="24" spans="1:6" x14ac:dyDescent="0.45">
      <c r="A24" s="16">
        <v>62</v>
      </c>
      <c r="B24" s="16">
        <v>22</v>
      </c>
    </row>
    <row r="25" spans="1:6" x14ac:dyDescent="0.45">
      <c r="A25" s="16">
        <v>65</v>
      </c>
      <c r="B25" s="16">
        <v>27</v>
      </c>
    </row>
    <row r="26" spans="1:6" x14ac:dyDescent="0.45">
      <c r="A26" s="16">
        <v>48</v>
      </c>
      <c r="B26" s="16">
        <v>22</v>
      </c>
    </row>
    <row r="27" spans="1:6" x14ac:dyDescent="0.45">
      <c r="A27" s="16">
        <v>32</v>
      </c>
      <c r="B27" s="16">
        <v>27</v>
      </c>
    </row>
    <row r="28" spans="1:6" x14ac:dyDescent="0.45">
      <c r="A28" s="16">
        <v>64</v>
      </c>
      <c r="B28" s="16">
        <v>28</v>
      </c>
    </row>
    <row r="29" spans="1:6" x14ac:dyDescent="0.45">
      <c r="A29" s="16">
        <v>59</v>
      </c>
      <c r="B29" s="16">
        <v>30</v>
      </c>
    </row>
    <row r="30" spans="1:6" x14ac:dyDescent="0.45">
      <c r="A30" s="16">
        <v>54</v>
      </c>
      <c r="B30" s="16">
        <v>29</v>
      </c>
    </row>
    <row r="31" spans="1:6" x14ac:dyDescent="0.45">
      <c r="A31" s="16">
        <v>52</v>
      </c>
      <c r="B31" s="16">
        <v>21</v>
      </c>
    </row>
    <row r="32" spans="1:6" x14ac:dyDescent="0.45">
      <c r="A32" s="16">
        <v>64</v>
      </c>
      <c r="B32" s="16">
        <v>26</v>
      </c>
    </row>
    <row r="33" spans="1:2" x14ac:dyDescent="0.45">
      <c r="A33" s="16">
        <v>51</v>
      </c>
      <c r="B33" s="16">
        <v>20</v>
      </c>
    </row>
    <row r="34" spans="1:2" x14ac:dyDescent="0.45">
      <c r="A34" s="16">
        <v>62</v>
      </c>
      <c r="B34" s="16">
        <v>29</v>
      </c>
    </row>
    <row r="35" spans="1:2" x14ac:dyDescent="0.45">
      <c r="A35" s="16">
        <v>56</v>
      </c>
      <c r="B35" s="16">
        <v>34</v>
      </c>
    </row>
    <row r="36" spans="1:2" x14ac:dyDescent="0.45">
      <c r="A36" s="16">
        <v>38</v>
      </c>
      <c r="B36" s="16">
        <v>21</v>
      </c>
    </row>
    <row r="37" spans="1:2" x14ac:dyDescent="0.45">
      <c r="A37" s="16">
        <v>52</v>
      </c>
      <c r="B37" s="16">
        <v>25</v>
      </c>
    </row>
    <row r="38" spans="1:2" x14ac:dyDescent="0.45">
      <c r="A38" s="16">
        <v>40</v>
      </c>
      <c r="B38" s="16">
        <v>24</v>
      </c>
    </row>
    <row r="39" spans="1:2" x14ac:dyDescent="0.45">
      <c r="A39" s="16">
        <v>65</v>
      </c>
      <c r="B39" s="16">
        <v>32</v>
      </c>
    </row>
    <row r="40" spans="1:2" x14ac:dyDescent="0.45">
      <c r="A40" s="16">
        <v>61</v>
      </c>
      <c r="B40" s="16">
        <v>29</v>
      </c>
    </row>
    <row r="41" spans="1:2" x14ac:dyDescent="0.45">
      <c r="A41" s="16">
        <v>64</v>
      </c>
      <c r="B41" s="16">
        <v>27</v>
      </c>
    </row>
    <row r="42" spans="1:2" x14ac:dyDescent="0.45">
      <c r="A42" s="16">
        <v>64</v>
      </c>
      <c r="B42" s="16">
        <v>26</v>
      </c>
    </row>
    <row r="43" spans="1:2" x14ac:dyDescent="0.45">
      <c r="A43" s="16">
        <v>53</v>
      </c>
      <c r="B43" s="16">
        <v>24</v>
      </c>
    </row>
    <row r="44" spans="1:2" x14ac:dyDescent="0.45">
      <c r="A44" s="16">
        <v>51</v>
      </c>
      <c r="B44" s="16">
        <v>25</v>
      </c>
    </row>
    <row r="45" spans="1:2" x14ac:dyDescent="0.45">
      <c r="A45" s="16">
        <v>58</v>
      </c>
      <c r="B45" s="16">
        <v>34</v>
      </c>
    </row>
    <row r="46" spans="1:2" x14ac:dyDescent="0.45">
      <c r="A46" s="16">
        <v>65</v>
      </c>
      <c r="B46" s="16">
        <v>28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A369D-8D41-4D2D-9D0A-DF5514048C4F}">
  <dimension ref="A1:Q37"/>
  <sheetViews>
    <sheetView tabSelected="1" workbookViewId="0">
      <selection activeCell="P36" sqref="P36"/>
    </sheetView>
  </sheetViews>
  <sheetFormatPr defaultRowHeight="17" x14ac:dyDescent="0.45"/>
  <cols>
    <col min="1" max="1" width="12.6640625" bestFit="1" customWidth="1"/>
    <col min="2" max="2" width="13.83203125" bestFit="1" customWidth="1"/>
    <col min="15" max="15" width="13.5" bestFit="1" customWidth="1"/>
    <col min="16" max="16" width="12.33203125" bestFit="1" customWidth="1"/>
  </cols>
  <sheetData>
    <row r="1" spans="1:17" x14ac:dyDescent="0.45">
      <c r="A1" t="s">
        <v>76</v>
      </c>
      <c r="B1">
        <v>0.5</v>
      </c>
      <c r="C1" t="s">
        <v>184</v>
      </c>
    </row>
    <row r="2" spans="1:17" x14ac:dyDescent="0.45">
      <c r="A2" t="s">
        <v>77</v>
      </c>
      <c r="B2">
        <v>15</v>
      </c>
      <c r="N2" t="s">
        <v>76</v>
      </c>
      <c r="O2" t="s">
        <v>76</v>
      </c>
      <c r="P2" t="s">
        <v>76</v>
      </c>
      <c r="Q2" t="s">
        <v>77</v>
      </c>
    </row>
    <row r="3" spans="1:17" x14ac:dyDescent="0.45">
      <c r="M3" t="s">
        <v>85</v>
      </c>
      <c r="N3">
        <v>0.1</v>
      </c>
      <c r="O3">
        <v>0.5</v>
      </c>
      <c r="P3">
        <v>0.9</v>
      </c>
      <c r="Q3">
        <v>10</v>
      </c>
    </row>
    <row r="4" spans="1:17" x14ac:dyDescent="0.45">
      <c r="A4" t="s">
        <v>78</v>
      </c>
      <c r="B4" s="22">
        <f>_xlfn.BINOM.DIST(6,15,0.5,1)</f>
        <v>0.30361938476562511</v>
      </c>
      <c r="M4">
        <v>0</v>
      </c>
      <c r="N4">
        <f>_xlfn.BINOM.DIST(M4,$Q$3,$N$3,0)</f>
        <v>0.34867844009999993</v>
      </c>
      <c r="O4">
        <f>_xlfn.BINOM.DIST(M4,$Q$3,$O$3,0)</f>
        <v>9.765625E-4</v>
      </c>
      <c r="P4">
        <f>_xlfn.BINOM.DIST(M4,$Q$3,$P$3,0)</f>
        <v>9.9999999999999603E-11</v>
      </c>
    </row>
    <row r="5" spans="1:17" x14ac:dyDescent="0.45">
      <c r="A5" t="s">
        <v>79</v>
      </c>
      <c r="B5" s="22">
        <f>D5-F5</f>
        <v>0.789886474609375</v>
      </c>
      <c r="C5" t="s">
        <v>80</v>
      </c>
      <c r="D5">
        <f>_xlfn.BINOM.DIST(10,15,0.5,1)</f>
        <v>0.940765380859375</v>
      </c>
      <c r="E5" t="s">
        <v>81</v>
      </c>
      <c r="F5">
        <f>_xlfn.BINOM.DIST(5,15,0.5,1)</f>
        <v>0.15087890625000006</v>
      </c>
      <c r="M5">
        <v>1</v>
      </c>
      <c r="N5">
        <f t="shared" ref="N5:N14" si="0">_xlfn.BINOM.DIST(M5,$Q$3,$N$3,0)</f>
        <v>0.38742048899999998</v>
      </c>
      <c r="O5">
        <f t="shared" ref="O5:O14" si="1">_xlfn.BINOM.DIST(M5,$Q$3,$O$3,0)</f>
        <v>9.7656250000000017E-3</v>
      </c>
      <c r="P5">
        <f t="shared" ref="P5:P14" si="2">_xlfn.BINOM.DIST(M5,$Q$3,$P$3,0)</f>
        <v>8.9999999999999962E-9</v>
      </c>
    </row>
    <row r="6" spans="1:17" x14ac:dyDescent="0.45">
      <c r="A6" t="s">
        <v>82</v>
      </c>
      <c r="B6">
        <f>1-_xlfn.BINOM.DIST(11,15,0.5,1)</f>
        <v>1.7578125E-2</v>
      </c>
      <c r="M6">
        <v>2</v>
      </c>
      <c r="N6">
        <f t="shared" si="0"/>
        <v>0.19371024450000005</v>
      </c>
      <c r="O6">
        <f t="shared" si="1"/>
        <v>4.3945312499999972E-2</v>
      </c>
      <c r="P6">
        <f t="shared" si="2"/>
        <v>3.6449999999999938E-7</v>
      </c>
    </row>
    <row r="7" spans="1:17" x14ac:dyDescent="0.45">
      <c r="B7" t="s">
        <v>83</v>
      </c>
      <c r="M7">
        <v>3</v>
      </c>
      <c r="N7">
        <f t="shared" si="0"/>
        <v>5.739562799999999E-2</v>
      </c>
      <c r="O7">
        <f t="shared" si="1"/>
        <v>0.11718750000000003</v>
      </c>
      <c r="P7">
        <f t="shared" si="2"/>
        <v>8.7479999999999932E-6</v>
      </c>
    </row>
    <row r="8" spans="1:17" x14ac:dyDescent="0.45">
      <c r="M8">
        <v>4</v>
      </c>
      <c r="N8">
        <f t="shared" si="0"/>
        <v>1.1160261000000003E-2</v>
      </c>
      <c r="O8">
        <f t="shared" si="1"/>
        <v>0.20507812500000006</v>
      </c>
      <c r="P8">
        <f t="shared" si="2"/>
        <v>1.3778099999999974E-4</v>
      </c>
    </row>
    <row r="9" spans="1:17" x14ac:dyDescent="0.45">
      <c r="M9">
        <v>5</v>
      </c>
      <c r="N9">
        <f t="shared" si="0"/>
        <v>1.4880348000000001E-3</v>
      </c>
      <c r="O9">
        <f t="shared" si="1"/>
        <v>0.24609375000000008</v>
      </c>
      <c r="P9">
        <f t="shared" si="2"/>
        <v>1.4880348000000001E-3</v>
      </c>
    </row>
    <row r="10" spans="1:17" x14ac:dyDescent="0.45">
      <c r="M10">
        <v>6</v>
      </c>
      <c r="N10">
        <f t="shared" si="0"/>
        <v>1.3778099999999988E-4</v>
      </c>
      <c r="O10">
        <f t="shared" si="1"/>
        <v>0.20507812500000006</v>
      </c>
      <c r="P10">
        <f t="shared" si="2"/>
        <v>1.1160260999999993E-2</v>
      </c>
    </row>
    <row r="11" spans="1:17" x14ac:dyDescent="0.45">
      <c r="A11" t="s">
        <v>76</v>
      </c>
      <c r="B11">
        <v>0.05</v>
      </c>
      <c r="M11">
        <v>7</v>
      </c>
      <c r="N11">
        <f t="shared" si="0"/>
        <v>8.7480000000000084E-6</v>
      </c>
      <c r="O11">
        <f t="shared" si="1"/>
        <v>0.11718750000000003</v>
      </c>
      <c r="P11">
        <f t="shared" si="2"/>
        <v>5.7395627999999935E-2</v>
      </c>
    </row>
    <row r="12" spans="1:17" x14ac:dyDescent="0.45">
      <c r="A12" t="s">
        <v>77</v>
      </c>
      <c r="B12">
        <v>10</v>
      </c>
      <c r="M12">
        <v>8</v>
      </c>
      <c r="N12">
        <f t="shared" si="0"/>
        <v>3.6450000000000065E-7</v>
      </c>
      <c r="O12">
        <f t="shared" si="1"/>
        <v>4.3945312499999986E-2</v>
      </c>
      <c r="P12">
        <f t="shared" si="2"/>
        <v>0.19371024450000002</v>
      </c>
    </row>
    <row r="13" spans="1:17" x14ac:dyDescent="0.45">
      <c r="A13" t="s">
        <v>84</v>
      </c>
      <c r="M13">
        <v>9</v>
      </c>
      <c r="N13">
        <f t="shared" si="0"/>
        <v>8.9999999999999962E-9</v>
      </c>
      <c r="O13">
        <f t="shared" si="1"/>
        <v>9.7656250000000017E-3</v>
      </c>
      <c r="P13">
        <f t="shared" si="2"/>
        <v>0.38742048899999998</v>
      </c>
    </row>
    <row r="14" spans="1:17" x14ac:dyDescent="0.45">
      <c r="A14">
        <v>0</v>
      </c>
      <c r="B14">
        <f>_xlfn.BINOM.DIST(A14,$B$12,$B$11,0)</f>
        <v>0.5987369392383789</v>
      </c>
      <c r="M14">
        <v>10</v>
      </c>
      <c r="N14">
        <f t="shared" si="0"/>
        <v>1.0000000000000031E-10</v>
      </c>
      <c r="O14">
        <f t="shared" si="1"/>
        <v>9.765625E-4</v>
      </c>
      <c r="P14">
        <f t="shared" si="2"/>
        <v>0.34867844010000004</v>
      </c>
    </row>
    <row r="15" spans="1:17" x14ac:dyDescent="0.45">
      <c r="A15">
        <v>1</v>
      </c>
      <c r="B15">
        <f t="shared" ref="B15:B24" si="3">_xlfn.BINOM.DIST(A15,$B$12,$B$11,0)</f>
        <v>0.31512470486230471</v>
      </c>
    </row>
    <row r="16" spans="1:17" x14ac:dyDescent="0.45">
      <c r="A16">
        <v>2</v>
      </c>
      <c r="B16">
        <f t="shared" si="3"/>
        <v>7.4634798520019557E-2</v>
      </c>
    </row>
    <row r="17" spans="1:16" x14ac:dyDescent="0.45">
      <c r="A17">
        <v>3</v>
      </c>
      <c r="B17">
        <f t="shared" si="3"/>
        <v>1.0475059441406248E-2</v>
      </c>
    </row>
    <row r="18" spans="1:16" x14ac:dyDescent="0.45">
      <c r="A18">
        <v>4</v>
      </c>
      <c r="B18">
        <f t="shared" si="3"/>
        <v>9.6480810644531312E-4</v>
      </c>
    </row>
    <row r="19" spans="1:16" x14ac:dyDescent="0.45">
      <c r="A19">
        <v>5</v>
      </c>
      <c r="B19">
        <f t="shared" si="3"/>
        <v>6.0935248828124926E-5</v>
      </c>
    </row>
    <row r="20" spans="1:16" x14ac:dyDescent="0.45">
      <c r="A20">
        <v>6</v>
      </c>
      <c r="B20">
        <f t="shared" si="3"/>
        <v>2.6725986328124979E-6</v>
      </c>
    </row>
    <row r="21" spans="1:16" x14ac:dyDescent="0.45">
      <c r="A21">
        <v>7</v>
      </c>
      <c r="B21">
        <f t="shared" si="3"/>
        <v>8.0378906250000105E-8</v>
      </c>
    </row>
    <row r="22" spans="1:16" x14ac:dyDescent="0.45">
      <c r="A22">
        <v>8</v>
      </c>
      <c r="B22">
        <f t="shared" si="3"/>
        <v>1.5864257812500044E-9</v>
      </c>
    </row>
    <row r="23" spans="1:16" x14ac:dyDescent="0.45">
      <c r="A23">
        <v>9</v>
      </c>
      <c r="B23">
        <f t="shared" si="3"/>
        <v>1.8554687500000024E-11</v>
      </c>
    </row>
    <row r="24" spans="1:16" x14ac:dyDescent="0.45">
      <c r="A24">
        <v>10</v>
      </c>
      <c r="B24">
        <f t="shared" si="3"/>
        <v>9.7656250000000218E-14</v>
      </c>
    </row>
    <row r="32" spans="1:16" x14ac:dyDescent="0.45">
      <c r="A32" t="s">
        <v>77</v>
      </c>
      <c r="B32">
        <v>18</v>
      </c>
      <c r="G32" t="s">
        <v>89</v>
      </c>
      <c r="H32">
        <v>48</v>
      </c>
      <c r="K32" t="s">
        <v>92</v>
      </c>
      <c r="L32">
        <v>12.7</v>
      </c>
      <c r="O32" t="s">
        <v>77</v>
      </c>
      <c r="P32">
        <v>200</v>
      </c>
    </row>
    <row r="33" spans="1:16" x14ac:dyDescent="0.45">
      <c r="A33" t="s">
        <v>76</v>
      </c>
      <c r="B33">
        <v>0.8</v>
      </c>
      <c r="G33" t="s">
        <v>90</v>
      </c>
      <c r="H33">
        <v>12</v>
      </c>
      <c r="K33" t="s">
        <v>93</v>
      </c>
      <c r="L33">
        <f>_xlfn.POISSON.DIST(9,L32,0)</f>
        <v>7.2265420741118344E-2</v>
      </c>
      <c r="O33" t="s">
        <v>76</v>
      </c>
      <c r="P33">
        <v>0.04</v>
      </c>
    </row>
    <row r="34" spans="1:16" x14ac:dyDescent="0.45">
      <c r="G34" t="s">
        <v>77</v>
      </c>
      <c r="H34">
        <v>8</v>
      </c>
      <c r="O34" t="s">
        <v>94</v>
      </c>
      <c r="P34">
        <f>P32*P33</f>
        <v>8</v>
      </c>
    </row>
    <row r="35" spans="1:16" x14ac:dyDescent="0.45">
      <c r="A35" t="s">
        <v>86</v>
      </c>
      <c r="B35">
        <f>_xlfn.BINOM.DIST(14,B32,B33,0)</f>
        <v>0.21532835718365181</v>
      </c>
      <c r="G35" t="s">
        <v>91</v>
      </c>
      <c r="H35">
        <f xml:space="preserve"> 1 - _xlfn.HYPGEOM.DIST(0,H34,H33,H32,0)</f>
        <v>0.919808080898183</v>
      </c>
      <c r="O35" t="s">
        <v>95</v>
      </c>
      <c r="P35" t="s">
        <v>96</v>
      </c>
    </row>
    <row r="36" spans="1:16" x14ac:dyDescent="0.45">
      <c r="B36">
        <f xml:space="preserve"> 1 - _xlfn.BINOM.DIST(5,B32,0.2,1)</f>
        <v>0.13291633424282434</v>
      </c>
      <c r="C36" t="s">
        <v>87</v>
      </c>
      <c r="N36" t="s">
        <v>80</v>
      </c>
      <c r="O36">
        <f>_xlfn.BINOM.DIST(10,P32,P33,1)</f>
        <v>0.81997898262309044</v>
      </c>
      <c r="P36">
        <f>_xlfn.POISSON.DIST(10,P34,1)</f>
        <v>0.81588579255854654</v>
      </c>
    </row>
    <row r="37" spans="1:16" x14ac:dyDescent="0.45">
      <c r="A37" t="s">
        <v>88</v>
      </c>
      <c r="B37" s="21">
        <f>_xlfn.BINOM.DIST(13,B32,B33,1) - _xlfn.BINOM.DIST(8,B32,B33,1)</f>
        <v>0.2827352919139941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A6FF-AB9D-4645-B12D-6533146DA673}">
  <dimension ref="A1:N23"/>
  <sheetViews>
    <sheetView workbookViewId="0">
      <selection activeCell="I30" sqref="I30"/>
    </sheetView>
  </sheetViews>
  <sheetFormatPr defaultRowHeight="17" x14ac:dyDescent="0.45"/>
  <sheetData>
    <row r="1" spans="1:3" x14ac:dyDescent="0.45">
      <c r="A1" t="s">
        <v>85</v>
      </c>
      <c r="B1" t="s">
        <v>19</v>
      </c>
    </row>
    <row r="2" spans="1:3" x14ac:dyDescent="0.45">
      <c r="A2">
        <v>0</v>
      </c>
      <c r="B2">
        <v>2.7</v>
      </c>
      <c r="C2">
        <f>_xlfn.POISSON.DIST(A2,$B$2,0)</f>
        <v>6.7205512739749756E-2</v>
      </c>
    </row>
    <row r="3" spans="1:3" x14ac:dyDescent="0.45">
      <c r="A3">
        <v>1</v>
      </c>
      <c r="C3">
        <f t="shared" ref="C3:C11" si="0">_xlfn.POISSON.DIST(A3,$B$2,0)</f>
        <v>0.18145488439732435</v>
      </c>
    </row>
    <row r="4" spans="1:3" x14ac:dyDescent="0.45">
      <c r="A4">
        <v>2</v>
      </c>
      <c r="C4">
        <f t="shared" si="0"/>
        <v>0.24496409393638793</v>
      </c>
    </row>
    <row r="5" spans="1:3" x14ac:dyDescent="0.45">
      <c r="A5">
        <v>3</v>
      </c>
      <c r="C5">
        <f t="shared" si="0"/>
        <v>0.22046768454274912</v>
      </c>
    </row>
    <row r="6" spans="1:3" x14ac:dyDescent="0.45">
      <c r="A6">
        <v>4</v>
      </c>
      <c r="C6">
        <f t="shared" si="0"/>
        <v>0.1488156870663557</v>
      </c>
    </row>
    <row r="7" spans="1:3" x14ac:dyDescent="0.45">
      <c r="A7">
        <v>5</v>
      </c>
      <c r="C7">
        <f t="shared" si="0"/>
        <v>8.0360471015832088E-2</v>
      </c>
    </row>
    <row r="8" spans="1:3" x14ac:dyDescent="0.45">
      <c r="A8">
        <v>6</v>
      </c>
      <c r="C8">
        <f t="shared" si="0"/>
        <v>3.6162211957124456E-2</v>
      </c>
    </row>
    <row r="9" spans="1:3" x14ac:dyDescent="0.45">
      <c r="A9">
        <v>7</v>
      </c>
      <c r="C9">
        <f t="shared" si="0"/>
        <v>1.3948281754890856E-2</v>
      </c>
    </row>
    <row r="10" spans="1:3" x14ac:dyDescent="0.45">
      <c r="A10">
        <v>8</v>
      </c>
      <c r="C10">
        <f t="shared" si="0"/>
        <v>4.7075450922756624E-3</v>
      </c>
    </row>
    <row r="11" spans="1:3" x14ac:dyDescent="0.45">
      <c r="A11">
        <v>9</v>
      </c>
      <c r="C11">
        <f t="shared" si="0"/>
        <v>1.4122635276826989E-3</v>
      </c>
    </row>
    <row r="17" spans="1:14" x14ac:dyDescent="0.45">
      <c r="A17" t="s">
        <v>77</v>
      </c>
      <c r="B17">
        <v>19</v>
      </c>
      <c r="F17" t="s">
        <v>77</v>
      </c>
      <c r="G17">
        <v>200</v>
      </c>
      <c r="L17" t="s">
        <v>85</v>
      </c>
      <c r="M17">
        <v>2</v>
      </c>
      <c r="N17" t="s">
        <v>100</v>
      </c>
    </row>
    <row r="18" spans="1:14" x14ac:dyDescent="0.45">
      <c r="A18" t="s">
        <v>76</v>
      </c>
      <c r="B18">
        <v>0.7</v>
      </c>
      <c r="F18" t="s">
        <v>76</v>
      </c>
      <c r="G18">
        <v>2E-3</v>
      </c>
      <c r="L18" t="s">
        <v>77</v>
      </c>
      <c r="M18">
        <v>8</v>
      </c>
      <c r="N18" t="s">
        <v>101</v>
      </c>
    </row>
    <row r="19" spans="1:14" x14ac:dyDescent="0.45">
      <c r="A19" t="s">
        <v>97</v>
      </c>
      <c r="B19">
        <f>_xlfn.BINOM.DIST(13,B17,B18,1)</f>
        <v>0.52613747572648628</v>
      </c>
      <c r="F19" t="s">
        <v>92</v>
      </c>
      <c r="G19">
        <f>G17*G18</f>
        <v>0.4</v>
      </c>
      <c r="L19" t="s">
        <v>90</v>
      </c>
      <c r="M19">
        <v>8</v>
      </c>
      <c r="N19" t="s">
        <v>102</v>
      </c>
    </row>
    <row r="20" spans="1:14" x14ac:dyDescent="0.45">
      <c r="A20" t="s">
        <v>98</v>
      </c>
      <c r="F20" t="s">
        <v>99</v>
      </c>
      <c r="L20" t="s">
        <v>89</v>
      </c>
      <c r="M20">
        <v>23</v>
      </c>
      <c r="N20" t="s">
        <v>103</v>
      </c>
    </row>
    <row r="21" spans="1:14" x14ac:dyDescent="0.45">
      <c r="B21">
        <f>1 - _xlfn.BINOM.DIST(16,B17,B18,1)</f>
        <v>4.6223683129257953E-2</v>
      </c>
      <c r="G21">
        <f>1 - _xlfn.BINOM.DIST(0,G17,G18,0)</f>
        <v>0.32994838626217726</v>
      </c>
      <c r="M21">
        <f>1-_xlfn.HYPGEOM.DIST(M17,M18,M19,M20,1)</f>
        <v>0.59606497061066976</v>
      </c>
    </row>
    <row r="22" spans="1:14" x14ac:dyDescent="0.45">
      <c r="G22">
        <f>1 - _xlfn.POISSON.DIST(0,G19,0)</f>
        <v>0.32967995396436067</v>
      </c>
      <c r="L22" t="s">
        <v>104</v>
      </c>
      <c r="M22">
        <f>M18*(M19/M20)</f>
        <v>2.7826086956521738</v>
      </c>
    </row>
    <row r="23" spans="1:14" x14ac:dyDescent="0.45">
      <c r="G23" t="s">
        <v>191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A1C7-7C65-4095-9675-11E5CE5A98A7}">
  <dimension ref="A1:P72"/>
  <sheetViews>
    <sheetView workbookViewId="0">
      <selection activeCell="B3" sqref="B3"/>
    </sheetView>
  </sheetViews>
  <sheetFormatPr defaultRowHeight="17" x14ac:dyDescent="0.45"/>
  <cols>
    <col min="2" max="2" width="12.33203125" bestFit="1" customWidth="1"/>
    <col min="4" max="4" width="13.75" bestFit="1" customWidth="1"/>
    <col min="5" max="5" width="9.33203125" bestFit="1" customWidth="1"/>
    <col min="7" max="7" width="13.33203125" bestFit="1" customWidth="1"/>
    <col min="9" max="9" width="13.58203125" bestFit="1" customWidth="1"/>
    <col min="11" max="11" width="15.6640625" bestFit="1" customWidth="1"/>
    <col min="15" max="15" width="22.5" bestFit="1" customWidth="1"/>
  </cols>
  <sheetData>
    <row r="1" spans="1:9" x14ac:dyDescent="0.45">
      <c r="A1" t="s">
        <v>85</v>
      </c>
      <c r="B1" t="s">
        <v>105</v>
      </c>
      <c r="I1" s="23"/>
    </row>
    <row r="2" spans="1:9" x14ac:dyDescent="0.45">
      <c r="A2">
        <v>-3.5</v>
      </c>
      <c r="B2">
        <f>_xlfn.NORM.DIST(A2,0,1,0)</f>
        <v>8.7268269504576015E-4</v>
      </c>
    </row>
    <row r="3" spans="1:9" x14ac:dyDescent="0.45">
      <c r="A3">
        <v>-3.4</v>
      </c>
      <c r="B3">
        <f t="shared" ref="B3:B66" si="0">_xlfn.NORM.DIST(A3,0,1,0)</f>
        <v>1.2322191684730199E-3</v>
      </c>
    </row>
    <row r="4" spans="1:9" x14ac:dyDescent="0.45">
      <c r="A4">
        <v>-3.3</v>
      </c>
      <c r="B4">
        <f t="shared" si="0"/>
        <v>1.7225689390536812E-3</v>
      </c>
    </row>
    <row r="5" spans="1:9" x14ac:dyDescent="0.45">
      <c r="A5">
        <v>-3.2</v>
      </c>
      <c r="B5">
        <f t="shared" si="0"/>
        <v>2.3840882014648404E-3</v>
      </c>
    </row>
    <row r="6" spans="1:9" x14ac:dyDescent="0.45">
      <c r="A6">
        <v>-3.1</v>
      </c>
      <c r="B6">
        <f t="shared" si="0"/>
        <v>3.2668190561999182E-3</v>
      </c>
    </row>
    <row r="7" spans="1:9" x14ac:dyDescent="0.45">
      <c r="A7">
        <v>-3</v>
      </c>
      <c r="B7">
        <f t="shared" si="0"/>
        <v>4.4318484119380075E-3</v>
      </c>
    </row>
    <row r="8" spans="1:9" x14ac:dyDescent="0.45">
      <c r="A8">
        <v>-2.9</v>
      </c>
      <c r="B8">
        <f t="shared" si="0"/>
        <v>5.9525324197758538E-3</v>
      </c>
    </row>
    <row r="9" spans="1:9" x14ac:dyDescent="0.45">
      <c r="A9">
        <v>-2.8</v>
      </c>
      <c r="B9">
        <f t="shared" si="0"/>
        <v>7.9154515829799686E-3</v>
      </c>
    </row>
    <row r="10" spans="1:9" x14ac:dyDescent="0.45">
      <c r="A10">
        <v>-2.7</v>
      </c>
      <c r="B10">
        <f t="shared" si="0"/>
        <v>1.0420934814422592E-2</v>
      </c>
    </row>
    <row r="11" spans="1:9" x14ac:dyDescent="0.45">
      <c r="A11">
        <v>-2.6</v>
      </c>
      <c r="B11">
        <f t="shared" si="0"/>
        <v>1.3582969233685613E-2</v>
      </c>
    </row>
    <row r="12" spans="1:9" x14ac:dyDescent="0.45">
      <c r="A12">
        <v>-2.5</v>
      </c>
      <c r="B12">
        <f t="shared" si="0"/>
        <v>1.752830049356854E-2</v>
      </c>
    </row>
    <row r="13" spans="1:9" x14ac:dyDescent="0.45">
      <c r="A13">
        <v>-2.4</v>
      </c>
      <c r="B13">
        <f t="shared" si="0"/>
        <v>2.2394530294842899E-2</v>
      </c>
    </row>
    <row r="14" spans="1:9" x14ac:dyDescent="0.45">
      <c r="A14">
        <v>-2.2999999999999998</v>
      </c>
      <c r="B14">
        <f t="shared" si="0"/>
        <v>2.8327037741601186E-2</v>
      </c>
    </row>
    <row r="15" spans="1:9" x14ac:dyDescent="0.45">
      <c r="A15">
        <v>-2.2000000000000002</v>
      </c>
      <c r="B15">
        <f t="shared" si="0"/>
        <v>3.5474592846231424E-2</v>
      </c>
    </row>
    <row r="16" spans="1:9" x14ac:dyDescent="0.45">
      <c r="A16">
        <v>-2.1</v>
      </c>
      <c r="B16">
        <f t="shared" si="0"/>
        <v>4.3983595980427191E-2</v>
      </c>
    </row>
    <row r="17" spans="1:16" x14ac:dyDescent="0.45">
      <c r="A17">
        <v>-2</v>
      </c>
      <c r="B17">
        <f t="shared" si="0"/>
        <v>5.3990966513188063E-2</v>
      </c>
      <c r="D17" t="s">
        <v>106</v>
      </c>
      <c r="K17" t="s">
        <v>129</v>
      </c>
      <c r="O17" t="s">
        <v>138</v>
      </c>
    </row>
    <row r="18" spans="1:16" x14ac:dyDescent="0.45">
      <c r="A18">
        <v>-1.9</v>
      </c>
      <c r="B18">
        <f t="shared" si="0"/>
        <v>6.5615814774676595E-2</v>
      </c>
      <c r="D18" t="s">
        <v>107</v>
      </c>
      <c r="E18">
        <f>_xlfn.NORM.INV(0.975,0,1)</f>
        <v>1.9599639845400536</v>
      </c>
      <c r="K18" t="s">
        <v>130</v>
      </c>
      <c r="L18" s="24">
        <f>_xlfn.NORM.INV(0.2643,0,1)</f>
        <v>-0.63014457200248619</v>
      </c>
      <c r="O18" t="s">
        <v>139</v>
      </c>
      <c r="P18">
        <f xml:space="preserve"> 1-_xlfn.NORM.DIST(22,17,3,1)</f>
        <v>4.7790352272814696E-2</v>
      </c>
    </row>
    <row r="19" spans="1:16" x14ac:dyDescent="0.45">
      <c r="A19">
        <v>-1.8</v>
      </c>
      <c r="B19">
        <f t="shared" si="0"/>
        <v>7.8950158300894149E-2</v>
      </c>
      <c r="D19" t="s">
        <v>108</v>
      </c>
      <c r="E19">
        <f>E20-E21</f>
        <v>0.34134474606854304</v>
      </c>
    </row>
    <row r="20" spans="1:16" x14ac:dyDescent="0.45">
      <c r="A20">
        <v>-1.7</v>
      </c>
      <c r="B20">
        <f t="shared" si="0"/>
        <v>9.4049077376886947E-2</v>
      </c>
      <c r="D20" t="s">
        <v>109</v>
      </c>
      <c r="E20">
        <f>_xlfn.NORM.DIST(1,0,1,1)</f>
        <v>0.84134474606854304</v>
      </c>
      <c r="K20" t="s">
        <v>131</v>
      </c>
      <c r="O20" t="s">
        <v>140</v>
      </c>
      <c r="P20">
        <f>P22-P21</f>
        <v>0.81757756054826425</v>
      </c>
    </row>
    <row r="21" spans="1:16" x14ac:dyDescent="0.45">
      <c r="A21">
        <v>-1.6</v>
      </c>
      <c r="B21">
        <f t="shared" si="0"/>
        <v>0.11092083467945554</v>
      </c>
      <c r="D21" t="s">
        <v>110</v>
      </c>
      <c r="E21">
        <f>_xlfn.NORM.DIST(0,0,1,1)</f>
        <v>0.5</v>
      </c>
      <c r="K21" t="s">
        <v>130</v>
      </c>
      <c r="L21" s="24">
        <f>_xlfn.NORM.INV(L23,0,1)</f>
        <v>1.3699917014240155</v>
      </c>
      <c r="O21" t="s">
        <v>141</v>
      </c>
      <c r="P21">
        <f>_xlfn.NORM.DIST(13,17,3,1)</f>
        <v>9.1211219725867876E-2</v>
      </c>
    </row>
    <row r="22" spans="1:16" x14ac:dyDescent="0.45">
      <c r="A22">
        <v>-1.5</v>
      </c>
      <c r="B22">
        <f t="shared" si="0"/>
        <v>0.12951759566589174</v>
      </c>
      <c r="K22" t="s">
        <v>132</v>
      </c>
      <c r="L22">
        <f>_xlfn.NORM.DIST(-1,0,1,1)</f>
        <v>0.15865525393145699</v>
      </c>
      <c r="O22" t="s">
        <v>142</v>
      </c>
      <c r="P22">
        <f>_xlfn.NORM.DIST(21,17,3,1)</f>
        <v>0.90878878027413212</v>
      </c>
    </row>
    <row r="23" spans="1:16" x14ac:dyDescent="0.45">
      <c r="A23">
        <v>-1.4</v>
      </c>
      <c r="B23">
        <f t="shared" si="0"/>
        <v>0.14972746563574488</v>
      </c>
      <c r="D23" t="s">
        <v>111</v>
      </c>
      <c r="E23">
        <f>E21+E19</f>
        <v>0.84134474606854304</v>
      </c>
      <c r="K23" t="s">
        <v>133</v>
      </c>
      <c r="L23">
        <f>L22+0.756</f>
        <v>0.91465525393145697</v>
      </c>
    </row>
    <row r="24" spans="1:16" x14ac:dyDescent="0.45">
      <c r="A24">
        <v>-1.3</v>
      </c>
      <c r="B24">
        <f t="shared" si="0"/>
        <v>0.17136859204780736</v>
      </c>
      <c r="O24" t="s">
        <v>143</v>
      </c>
      <c r="P24">
        <f>P26-P25</f>
        <v>0.38292492254802624</v>
      </c>
    </row>
    <row r="25" spans="1:16" x14ac:dyDescent="0.45">
      <c r="A25">
        <v>-1.2</v>
      </c>
      <c r="B25">
        <f t="shared" si="0"/>
        <v>0.19418605498321295</v>
      </c>
      <c r="D25" t="s">
        <v>112</v>
      </c>
      <c r="E25">
        <f>E27-E26</f>
        <v>0.95449973610364158</v>
      </c>
      <c r="G25" t="s">
        <v>122</v>
      </c>
      <c r="K25" t="s">
        <v>134</v>
      </c>
      <c r="O25" t="s">
        <v>144</v>
      </c>
      <c r="P25">
        <f>_xlfn.NORM.DIST(15.5,17,3,1)</f>
        <v>0.30853753872598688</v>
      </c>
    </row>
    <row r="26" spans="1:16" x14ac:dyDescent="0.45">
      <c r="A26">
        <v>-1.1000000000000001</v>
      </c>
      <c r="B26">
        <f t="shared" si="0"/>
        <v>0.21785217703255053</v>
      </c>
      <c r="D26" t="s">
        <v>113</v>
      </c>
      <c r="E26">
        <f>_xlfn.NORM.DIST(-2,0,1,1)</f>
        <v>2.2750131948179191E-2</v>
      </c>
      <c r="G26" t="s">
        <v>107</v>
      </c>
      <c r="H26">
        <f>_xlfn.NORM.INV(0.6,0,1)</f>
        <v>0.25334710313579978</v>
      </c>
      <c r="K26" t="s">
        <v>130</v>
      </c>
      <c r="L26" s="24">
        <f>_xlfn.NORM.INV(L28,0,1)</f>
        <v>1.0364333894937898</v>
      </c>
      <c r="O26" t="s">
        <v>145</v>
      </c>
      <c r="P26">
        <f>_xlfn.NORM.DIST(18.5,17,3,1)</f>
        <v>0.69146246127401312</v>
      </c>
    </row>
    <row r="27" spans="1:16" x14ac:dyDescent="0.45">
      <c r="A27">
        <v>-1</v>
      </c>
      <c r="B27">
        <f t="shared" si="0"/>
        <v>0.24197072451914337</v>
      </c>
      <c r="D27" t="s">
        <v>114</v>
      </c>
      <c r="E27">
        <f>_xlfn.NORM.DIST(2,0,1,1)</f>
        <v>0.97724986805182079</v>
      </c>
      <c r="K27" t="s">
        <v>135</v>
      </c>
      <c r="L27">
        <f>_xlfn.NORM.DIST(0,0,1,1)</f>
        <v>0.5</v>
      </c>
    </row>
    <row r="28" spans="1:16" x14ac:dyDescent="0.45">
      <c r="A28">
        <v>-0.9</v>
      </c>
      <c r="B28">
        <f t="shared" si="0"/>
        <v>0.26608524989875482</v>
      </c>
      <c r="K28" t="s">
        <v>133</v>
      </c>
      <c r="L28">
        <f>L27+0.35</f>
        <v>0.85</v>
      </c>
      <c r="O28" t="s">
        <v>146</v>
      </c>
    </row>
    <row r="29" spans="1:16" x14ac:dyDescent="0.45">
      <c r="A29">
        <v>-0.8</v>
      </c>
      <c r="B29">
        <f t="shared" si="0"/>
        <v>0.28969155276148273</v>
      </c>
      <c r="D29" t="s">
        <v>114</v>
      </c>
      <c r="E29">
        <f>E26+E25</f>
        <v>0.97724986805182079</v>
      </c>
      <c r="G29" t="s">
        <v>123</v>
      </c>
      <c r="O29" t="s">
        <v>147</v>
      </c>
    </row>
    <row r="30" spans="1:16" x14ac:dyDescent="0.45">
      <c r="A30">
        <v>-0.7</v>
      </c>
      <c r="B30">
        <f t="shared" si="0"/>
        <v>0.31225393336676127</v>
      </c>
      <c r="G30" t="s">
        <v>124</v>
      </c>
      <c r="H30" t="s">
        <v>125</v>
      </c>
      <c r="I30" t="s">
        <v>126</v>
      </c>
      <c r="K30" t="s">
        <v>136</v>
      </c>
      <c r="O30" t="s">
        <v>148</v>
      </c>
    </row>
    <row r="31" spans="1:16" x14ac:dyDescent="0.45">
      <c r="A31">
        <v>-0.6</v>
      </c>
      <c r="B31">
        <f t="shared" si="0"/>
        <v>0.33322460289179967</v>
      </c>
      <c r="D31" t="s">
        <v>115</v>
      </c>
      <c r="E31">
        <f>1 - _xlfn.NORM.DIST(2,0,1,1)</f>
        <v>2.2750131948179209E-2</v>
      </c>
      <c r="G31" t="s">
        <v>127</v>
      </c>
      <c r="H31">
        <f>_xlfn.NORM.INV(0.95,0,1)</f>
        <v>1.6448536269514715</v>
      </c>
      <c r="K31" t="s">
        <v>130</v>
      </c>
      <c r="L31" s="24">
        <f>_xlfn.NORM.INV(0.8,0,1)</f>
        <v>0.84162123357291474</v>
      </c>
    </row>
    <row r="32" spans="1:16" x14ac:dyDescent="0.45">
      <c r="A32">
        <v>-0.5</v>
      </c>
      <c r="B32">
        <f t="shared" si="0"/>
        <v>0.35206532676429952</v>
      </c>
      <c r="G32" t="s">
        <v>128</v>
      </c>
      <c r="H32">
        <f>_xlfn.NORM.INV(0.05,0,1)</f>
        <v>-1.6448536269514726</v>
      </c>
      <c r="K32" t="s">
        <v>137</v>
      </c>
    </row>
    <row r="33" spans="1:5" x14ac:dyDescent="0.45">
      <c r="A33">
        <v>-0.4</v>
      </c>
      <c r="B33">
        <f t="shared" si="0"/>
        <v>0.36827014030332333</v>
      </c>
      <c r="D33" t="s">
        <v>117</v>
      </c>
    </row>
    <row r="34" spans="1:5" x14ac:dyDescent="0.45">
      <c r="A34">
        <v>-0.3</v>
      </c>
      <c r="B34">
        <f t="shared" si="0"/>
        <v>0.38138781546052414</v>
      </c>
      <c r="D34" t="s">
        <v>116</v>
      </c>
    </row>
    <row r="35" spans="1:5" x14ac:dyDescent="0.45">
      <c r="A35">
        <v>-0.2</v>
      </c>
      <c r="B35">
        <f t="shared" si="0"/>
        <v>0.39104269397545588</v>
      </c>
      <c r="D35" t="s">
        <v>118</v>
      </c>
      <c r="E35">
        <f>1-_xlfn.NORM.DIST(30,20,5,1)</f>
        <v>2.2750131948179209E-2</v>
      </c>
    </row>
    <row r="36" spans="1:5" x14ac:dyDescent="0.45">
      <c r="A36">
        <v>-0.1</v>
      </c>
      <c r="B36">
        <f t="shared" si="0"/>
        <v>0.39695254747701181</v>
      </c>
    </row>
    <row r="37" spans="1:5" x14ac:dyDescent="0.45">
      <c r="A37">
        <v>0</v>
      </c>
      <c r="B37">
        <f t="shared" si="0"/>
        <v>0.3989422804014327</v>
      </c>
      <c r="D37" t="s">
        <v>119</v>
      </c>
      <c r="E37">
        <f>E38-E39</f>
        <v>0.81859461412036383</v>
      </c>
    </row>
    <row r="38" spans="1:5" x14ac:dyDescent="0.45">
      <c r="A38">
        <v>0.1</v>
      </c>
      <c r="B38">
        <f t="shared" si="0"/>
        <v>0.39695254747701181</v>
      </c>
      <c r="D38" t="s">
        <v>120</v>
      </c>
      <c r="E38">
        <f>_xlfn.NORM.DIST(25,20,5,1)</f>
        <v>0.84134474606854304</v>
      </c>
    </row>
    <row r="39" spans="1:5" x14ac:dyDescent="0.45">
      <c r="A39">
        <v>0.2</v>
      </c>
      <c r="B39">
        <f t="shared" si="0"/>
        <v>0.39104269397545588</v>
      </c>
      <c r="D39" t="s">
        <v>121</v>
      </c>
      <c r="E39">
        <f>_xlfn.NORM.DIST(10,20,5,1)</f>
        <v>2.2750131948179191E-2</v>
      </c>
    </row>
    <row r="40" spans="1:5" x14ac:dyDescent="0.45">
      <c r="A40">
        <v>0.3</v>
      </c>
      <c r="B40">
        <f t="shared" si="0"/>
        <v>0.38138781546052414</v>
      </c>
    </row>
    <row r="41" spans="1:5" x14ac:dyDescent="0.45">
      <c r="A41">
        <v>0.4</v>
      </c>
      <c r="B41">
        <f t="shared" si="0"/>
        <v>0.36827014030332333</v>
      </c>
    </row>
    <row r="42" spans="1:5" x14ac:dyDescent="0.45">
      <c r="A42">
        <v>0.5</v>
      </c>
      <c r="B42">
        <f t="shared" si="0"/>
        <v>0.35206532676429952</v>
      </c>
    </row>
    <row r="43" spans="1:5" x14ac:dyDescent="0.45">
      <c r="A43">
        <v>0.6</v>
      </c>
      <c r="B43">
        <f t="shared" si="0"/>
        <v>0.33322460289179967</v>
      </c>
    </row>
    <row r="44" spans="1:5" x14ac:dyDescent="0.45">
      <c r="A44">
        <v>0.7</v>
      </c>
      <c r="B44">
        <f t="shared" si="0"/>
        <v>0.31225393336676127</v>
      </c>
    </row>
    <row r="45" spans="1:5" x14ac:dyDescent="0.45">
      <c r="A45">
        <v>0.8</v>
      </c>
      <c r="B45">
        <f t="shared" si="0"/>
        <v>0.28969155276148273</v>
      </c>
    </row>
    <row r="46" spans="1:5" x14ac:dyDescent="0.45">
      <c r="A46">
        <v>0.9</v>
      </c>
      <c r="B46">
        <f t="shared" si="0"/>
        <v>0.26608524989875482</v>
      </c>
    </row>
    <row r="47" spans="1:5" x14ac:dyDescent="0.45">
      <c r="A47">
        <v>1</v>
      </c>
      <c r="B47">
        <f t="shared" si="0"/>
        <v>0.24197072451914337</v>
      </c>
    </row>
    <row r="48" spans="1:5" x14ac:dyDescent="0.45">
      <c r="A48">
        <v>1.1000000000000001</v>
      </c>
      <c r="B48">
        <f t="shared" si="0"/>
        <v>0.21785217703255053</v>
      </c>
    </row>
    <row r="49" spans="1:2" x14ac:dyDescent="0.45">
      <c r="A49">
        <v>1.2</v>
      </c>
      <c r="B49">
        <f t="shared" si="0"/>
        <v>0.19418605498321295</v>
      </c>
    </row>
    <row r="50" spans="1:2" x14ac:dyDescent="0.45">
      <c r="A50">
        <v>1.3</v>
      </c>
      <c r="B50">
        <f t="shared" si="0"/>
        <v>0.17136859204780736</v>
      </c>
    </row>
    <row r="51" spans="1:2" x14ac:dyDescent="0.45">
      <c r="A51">
        <v>1.4</v>
      </c>
      <c r="B51">
        <f t="shared" si="0"/>
        <v>0.14972746563574488</v>
      </c>
    </row>
    <row r="52" spans="1:2" x14ac:dyDescent="0.45">
      <c r="A52">
        <v>1.5</v>
      </c>
      <c r="B52">
        <f t="shared" si="0"/>
        <v>0.12951759566589174</v>
      </c>
    </row>
    <row r="53" spans="1:2" x14ac:dyDescent="0.45">
      <c r="A53">
        <v>1.6</v>
      </c>
      <c r="B53">
        <f t="shared" si="0"/>
        <v>0.11092083467945554</v>
      </c>
    </row>
    <row r="54" spans="1:2" x14ac:dyDescent="0.45">
      <c r="A54">
        <v>1.7</v>
      </c>
      <c r="B54">
        <f t="shared" si="0"/>
        <v>9.4049077376886947E-2</v>
      </c>
    </row>
    <row r="55" spans="1:2" x14ac:dyDescent="0.45">
      <c r="A55">
        <v>1.8</v>
      </c>
      <c r="B55">
        <f t="shared" si="0"/>
        <v>7.8950158300894149E-2</v>
      </c>
    </row>
    <row r="56" spans="1:2" x14ac:dyDescent="0.45">
      <c r="A56">
        <v>1.9</v>
      </c>
      <c r="B56">
        <f t="shared" si="0"/>
        <v>6.5615814774676595E-2</v>
      </c>
    </row>
    <row r="57" spans="1:2" x14ac:dyDescent="0.45">
      <c r="A57">
        <v>2.0000000000000102</v>
      </c>
      <c r="B57">
        <f t="shared" si="0"/>
        <v>5.3990966513186953E-2</v>
      </c>
    </row>
    <row r="58" spans="1:2" x14ac:dyDescent="0.45">
      <c r="A58">
        <v>2.1</v>
      </c>
      <c r="B58">
        <f t="shared" si="0"/>
        <v>4.3983595980427191E-2</v>
      </c>
    </row>
    <row r="59" spans="1:2" x14ac:dyDescent="0.45">
      <c r="A59">
        <v>2.2000000000000002</v>
      </c>
      <c r="B59">
        <f t="shared" si="0"/>
        <v>3.5474592846231424E-2</v>
      </c>
    </row>
    <row r="60" spans="1:2" x14ac:dyDescent="0.45">
      <c r="A60">
        <v>2.30000000000001</v>
      </c>
      <c r="B60">
        <f t="shared" si="0"/>
        <v>2.8327037741600516E-2</v>
      </c>
    </row>
    <row r="61" spans="1:2" x14ac:dyDescent="0.45">
      <c r="A61">
        <v>2.4000000000000101</v>
      </c>
      <c r="B61">
        <f t="shared" si="0"/>
        <v>2.2394530294842355E-2</v>
      </c>
    </row>
    <row r="62" spans="1:2" x14ac:dyDescent="0.45">
      <c r="A62">
        <v>2.5000000000000102</v>
      </c>
      <c r="B62">
        <f t="shared" si="0"/>
        <v>1.7528300493568086E-2</v>
      </c>
    </row>
    <row r="63" spans="1:2" x14ac:dyDescent="0.45">
      <c r="A63">
        <v>2.6</v>
      </c>
      <c r="B63">
        <f t="shared" si="0"/>
        <v>1.3582969233685613E-2</v>
      </c>
    </row>
    <row r="64" spans="1:2" x14ac:dyDescent="0.45">
      <c r="A64">
        <v>2.7000000000000099</v>
      </c>
      <c r="B64">
        <f t="shared" si="0"/>
        <v>1.0420934814422318E-2</v>
      </c>
    </row>
    <row r="65" spans="1:2" x14ac:dyDescent="0.45">
      <c r="A65">
        <v>2.80000000000001</v>
      </c>
      <c r="B65">
        <f t="shared" si="0"/>
        <v>7.915451582979743E-3</v>
      </c>
    </row>
    <row r="66" spans="1:2" x14ac:dyDescent="0.45">
      <c r="A66">
        <v>2.9000000000000101</v>
      </c>
      <c r="B66">
        <f t="shared" si="0"/>
        <v>5.9525324197756795E-3</v>
      </c>
    </row>
    <row r="67" spans="1:2" x14ac:dyDescent="0.45">
      <c r="A67">
        <v>3.0000000000000102</v>
      </c>
      <c r="B67">
        <f t="shared" ref="B67:B72" si="1">_xlfn.NORM.DIST(A67,0,1,0)</f>
        <v>4.431848411937874E-3</v>
      </c>
    </row>
    <row r="68" spans="1:2" x14ac:dyDescent="0.45">
      <c r="A68">
        <v>3.1000000000000099</v>
      </c>
      <c r="B68">
        <f t="shared" si="1"/>
        <v>3.2668190561998202E-3</v>
      </c>
    </row>
    <row r="69" spans="1:2" x14ac:dyDescent="0.45">
      <c r="A69">
        <v>3.2000000000000099</v>
      </c>
      <c r="B69">
        <f t="shared" si="1"/>
        <v>2.3840882014647662E-3</v>
      </c>
    </row>
    <row r="70" spans="1:2" x14ac:dyDescent="0.45">
      <c r="A70">
        <v>3.30000000000001</v>
      </c>
      <c r="B70">
        <f t="shared" si="1"/>
        <v>1.7225689390536229E-3</v>
      </c>
    </row>
    <row r="71" spans="1:2" x14ac:dyDescent="0.45">
      <c r="A71">
        <v>3.4000000000000101</v>
      </c>
      <c r="B71">
        <f t="shared" si="1"/>
        <v>1.2322191684729772E-3</v>
      </c>
    </row>
    <row r="72" spans="1:2" x14ac:dyDescent="0.45">
      <c r="A72">
        <v>3.5000000000000102</v>
      </c>
      <c r="B72">
        <f t="shared" si="1"/>
        <v>8.7268269504572915E-4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4A21-24A7-4934-B835-E7C36CD0CBDB}">
  <dimension ref="A1:B24"/>
  <sheetViews>
    <sheetView workbookViewId="0">
      <selection activeCell="C26" sqref="C26"/>
    </sheetView>
  </sheetViews>
  <sheetFormatPr defaultRowHeight="17" x14ac:dyDescent="0.45"/>
  <cols>
    <col min="1" max="1" width="8.83203125" bestFit="1" customWidth="1"/>
    <col min="2" max="2" width="8.6640625" customWidth="1"/>
  </cols>
  <sheetData>
    <row r="1" spans="1:2" x14ac:dyDescent="0.45">
      <c r="A1" t="s">
        <v>149</v>
      </c>
      <c r="B1" t="str">
        <f>IF(1 &gt; 0, "1은 0보다 크다", "1은 0보다 크지 않다")</f>
        <v>1은 0보다 크다</v>
      </c>
    </row>
    <row r="2" spans="1:2" x14ac:dyDescent="0.45">
      <c r="A2" t="s">
        <v>159</v>
      </c>
      <c r="B2" t="s">
        <v>160</v>
      </c>
    </row>
    <row r="3" spans="1:2" x14ac:dyDescent="0.45">
      <c r="A3" t="s">
        <v>150</v>
      </c>
      <c r="B3" t="s">
        <v>161</v>
      </c>
    </row>
    <row r="4" spans="1:2" x14ac:dyDescent="0.45">
      <c r="A4" t="s">
        <v>151</v>
      </c>
      <c r="B4" t="s">
        <v>162</v>
      </c>
    </row>
    <row r="5" spans="1:2" x14ac:dyDescent="0.45">
      <c r="A5" t="s">
        <v>167</v>
      </c>
      <c r="B5" t="s">
        <v>169</v>
      </c>
    </row>
    <row r="6" spans="1:2" x14ac:dyDescent="0.45">
      <c r="A6" t="s">
        <v>168</v>
      </c>
      <c r="B6" t="s">
        <v>170</v>
      </c>
    </row>
    <row r="7" spans="1:2" x14ac:dyDescent="0.45">
      <c r="A7" t="s">
        <v>173</v>
      </c>
      <c r="B7" t="s">
        <v>174</v>
      </c>
    </row>
    <row r="8" spans="1:2" x14ac:dyDescent="0.45">
      <c r="A8" t="s">
        <v>175</v>
      </c>
      <c r="B8" t="s">
        <v>176</v>
      </c>
    </row>
    <row r="9" spans="1:2" x14ac:dyDescent="0.45">
      <c r="A9" t="s">
        <v>152</v>
      </c>
      <c r="B9" t="s">
        <v>177</v>
      </c>
    </row>
    <row r="10" spans="1:2" x14ac:dyDescent="0.45">
      <c r="A10" t="s">
        <v>153</v>
      </c>
      <c r="B10" t="s">
        <v>178</v>
      </c>
    </row>
    <row r="11" spans="1:2" x14ac:dyDescent="0.45">
      <c r="A11" t="s">
        <v>154</v>
      </c>
      <c r="B11" t="s">
        <v>179</v>
      </c>
    </row>
    <row r="12" spans="1:2" x14ac:dyDescent="0.45">
      <c r="A12" t="s">
        <v>180</v>
      </c>
      <c r="B12" t="s">
        <v>181</v>
      </c>
    </row>
    <row r="13" spans="1:2" x14ac:dyDescent="0.45">
      <c r="A13" t="s">
        <v>182</v>
      </c>
      <c r="B13" t="s">
        <v>183</v>
      </c>
    </row>
    <row r="14" spans="1:2" x14ac:dyDescent="0.45">
      <c r="A14" t="s">
        <v>155</v>
      </c>
      <c r="B14" t="s">
        <v>158</v>
      </c>
    </row>
    <row r="15" spans="1:2" x14ac:dyDescent="0.45">
      <c r="A15" t="s">
        <v>156</v>
      </c>
      <c r="B15" t="s">
        <v>157</v>
      </c>
    </row>
    <row r="16" spans="1:2" x14ac:dyDescent="0.45">
      <c r="A16" t="s">
        <v>163</v>
      </c>
      <c r="B16" t="s">
        <v>164</v>
      </c>
    </row>
    <row r="17" spans="1:2" x14ac:dyDescent="0.45">
      <c r="A17" t="s">
        <v>165</v>
      </c>
      <c r="B17" t="s">
        <v>166</v>
      </c>
    </row>
    <row r="18" spans="1:2" x14ac:dyDescent="0.45">
      <c r="A18" t="s">
        <v>171</v>
      </c>
      <c r="B18" t="s">
        <v>172</v>
      </c>
    </row>
    <row r="19" spans="1:2" x14ac:dyDescent="0.45">
      <c r="A19" t="s">
        <v>185</v>
      </c>
      <c r="B19" t="s">
        <v>186</v>
      </c>
    </row>
    <row r="20" spans="1:2" x14ac:dyDescent="0.45">
      <c r="A20" t="s">
        <v>187</v>
      </c>
      <c r="B20" t="s">
        <v>188</v>
      </c>
    </row>
    <row r="21" spans="1:2" x14ac:dyDescent="0.45">
      <c r="A21" t="s">
        <v>189</v>
      </c>
      <c r="B21" t="s">
        <v>190</v>
      </c>
    </row>
    <row r="22" spans="1:2" x14ac:dyDescent="0.45">
      <c r="A22" t="s">
        <v>192</v>
      </c>
      <c r="B22" t="s">
        <v>193</v>
      </c>
    </row>
    <row r="23" spans="1:2" x14ac:dyDescent="0.45">
      <c r="A23" t="s">
        <v>194</v>
      </c>
      <c r="B23" t="s">
        <v>195</v>
      </c>
    </row>
    <row r="24" spans="1:2" x14ac:dyDescent="0.45">
      <c r="A24" t="s">
        <v>196</v>
      </c>
      <c r="B24" t="s">
        <v>197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2026-04-25T16:41:34Z</dcterms:created>
  <dcterms:modified xsi:type="dcterms:W3CDTF">2026-04-27T05:06:49Z</dcterms:modified>
</cp:coreProperties>
</file>