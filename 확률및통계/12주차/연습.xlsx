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2주차\"/>
    </mc:Choice>
  </mc:AlternateContent>
  <xr:revisionPtr revIDLastSave="0" documentId="13_ncr:1_{F91CD9EF-A21E-4040-91F0-3128D082E24F}" xr6:coauthVersionLast="47" xr6:coauthVersionMax="47" xr10:uidLastSave="{00000000-0000-0000-0000-000000000000}"/>
  <bookViews>
    <workbookView xWindow="-110" yWindow="-110" windowWidth="25820" windowHeight="15500" activeTab="1" xr2:uid="{A0CC73F6-081C-4354-A2F4-5FDE8F1DEB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0" i="2" l="1"/>
  <c r="O19" i="2"/>
  <c r="M19" i="2"/>
  <c r="P3" i="2"/>
  <c r="O3" i="2"/>
  <c r="M8" i="2"/>
  <c r="M7" i="2"/>
  <c r="B6" i="2"/>
  <c r="B5" i="2"/>
  <c r="B3" i="2"/>
  <c r="B2" i="2"/>
  <c r="D11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<sst xmlns="http://schemas.openxmlformats.org/spreadsheetml/2006/main" count="34" uniqueCount="28">
  <si>
    <t>ex4</t>
    <phoneticPr fontId="1" type="noConversion"/>
  </si>
  <si>
    <t>세균</t>
    <phoneticPr fontId="1" type="noConversion"/>
  </si>
  <si>
    <t>H0: mu=</t>
    <phoneticPr fontId="1" type="noConversion"/>
  </si>
  <si>
    <t>alpha</t>
    <phoneticPr fontId="1" type="noConversion"/>
  </si>
  <si>
    <t>H1: mu&lt;</t>
    <phoneticPr fontId="1" type="noConversion"/>
  </si>
  <si>
    <t>n</t>
    <phoneticPr fontId="1" type="noConversion"/>
  </si>
  <si>
    <t>xbar</t>
    <phoneticPr fontId="1" type="noConversion"/>
  </si>
  <si>
    <t>s</t>
    <phoneticPr fontId="1" type="noConversion"/>
  </si>
  <si>
    <t>표준오차</t>
    <phoneticPr fontId="1" type="noConversion"/>
  </si>
  <si>
    <t>s/root(n)</t>
    <phoneticPr fontId="1" type="noConversion"/>
  </si>
  <si>
    <t>t(검정통계량)</t>
    <phoneticPr fontId="1" type="noConversion"/>
  </si>
  <si>
    <t>t0.05, 9</t>
    <phoneticPr fontId="1" type="noConversion"/>
  </si>
  <si>
    <t>기각역</t>
    <phoneticPr fontId="1" type="noConversion"/>
  </si>
  <si>
    <t>p-value</t>
    <phoneticPr fontId="1" type="noConversion"/>
  </si>
  <si>
    <t>ex6</t>
    <phoneticPr fontId="1" type="noConversion"/>
  </si>
  <si>
    <t>ex7</t>
    <phoneticPr fontId="1" type="noConversion"/>
  </si>
  <si>
    <t>자유도(n-1)</t>
    <phoneticPr fontId="1" type="noConversion"/>
  </si>
  <si>
    <t>chi 0.05,9</t>
    <phoneticPr fontId="1" type="noConversion"/>
  </si>
  <si>
    <t>chi 0.95,9</t>
    <phoneticPr fontId="1" type="noConversion"/>
  </si>
  <si>
    <t>L</t>
    <phoneticPr fontId="1" type="noConversion"/>
  </si>
  <si>
    <t>U</t>
    <phoneticPr fontId="1" type="noConversion"/>
  </si>
  <si>
    <t>90% C.I..</t>
    <phoneticPr fontId="1" type="noConversion"/>
  </si>
  <si>
    <t>ex8</t>
    <phoneticPr fontId="1" type="noConversion"/>
  </si>
  <si>
    <t>H0: sigma=</t>
    <phoneticPr fontId="1" type="noConversion"/>
  </si>
  <si>
    <t>H1: sigma&gt;</t>
    <phoneticPr fontId="1" type="noConversion"/>
  </si>
  <si>
    <t>chi_sq</t>
    <phoneticPr fontId="1" type="noConversion"/>
  </si>
  <si>
    <t>chi 0.05, 9</t>
    <phoneticPr fontId="1" type="noConversion"/>
  </si>
  <si>
    <t>.= alpha 제 1종 오류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</si>
</sst>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539750</xdr:colOff>
      <xdr:row>0</xdr:row>
      <xdr:rowOff>53973</xdr:rowOff>
    </xdr:from>
    <xdr:to>
      <xdr:col>14</xdr:col>
      <xdr:colOff>570211</xdr:colOff>
      <xdr:row>15</xdr:row>
      <xdr:rowOff>153753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284070-B977-3D12-AD4A-EFCCA2049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1950" y="53973"/>
          <a:ext cx="4653261" cy="3338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306154</xdr:colOff>
      <xdr:row>0</xdr:row>
      <xdr:rowOff>139700</xdr:rowOff>
    </xdr:from>
    <xdr:to>
      <xdr:col>8</xdr:col>
      <xdr:colOff>202531</xdr:colOff>
      <xdr:row>13</xdr:row>
      <xdr:rowOff>88900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1CC55E-C88D-ED47-CD6F-D9D6D1B06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6954" y="139700"/>
          <a:ext cx="3858777" cy="2755900"/>
        </a:xfrm>
        <a:prstGeom prst="rect">
          <a:avLst/>
        </a:prstGeom>
      </xdr:spPr>
    </xdr:pic>
    <xdr:clientData/>
  </xdr:twoCellAnchor>
  <xdr:twoCellAnchor editAs="oneCell">
    <xdr:from>
      <xdr:col>16</xdr:col>
      <xdr:colOff>522782</xdr:colOff>
      <xdr:row>0</xdr:row>
      <xdr:rowOff>44450</xdr:rowOff>
    </xdr:from>
    <xdr:to>
      <xdr:col>23</xdr:col>
      <xdr:colOff>186001</xdr:colOff>
      <xdr:row>14</xdr:row>
      <xdr:rowOff>36227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1B09C1-720A-6673-F8D9-874809AE7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0032" y="44450"/>
          <a:ext cx="4286019" cy="3014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74FD-F15D-4D67-824E-29D6368BF039}">
  <dimension ref="A1:G13"/>
  <sheetViews>
    <sheetView workbookViewId="0">
      <selection activeCell="F15" sqref="F15"/>
    </sheetView>
  </sheetViews>
  <sheetFormatPr defaultRowHeight="17" x14ac:dyDescent="0.45"/>
  <cols>
    <col min="3" max="3" width="12.33203125" bestFit="1" customWidth="1"/>
  </cols>
  <sheetData>
    <row r="1" spans="1:7" x14ac:dyDescent="0.45">
      <c r="A1" t="s">
        <v>0</v>
      </c>
    </row>
    <row r="2" spans="1:7" x14ac:dyDescent="0.45">
      <c r="C2" t="s">
        <v>2</v>
      </c>
      <c r="D2">
        <v>200</v>
      </c>
      <c r="F2" t="s">
        <v>4</v>
      </c>
      <c r="G2">
        <v>200</v>
      </c>
    </row>
    <row r="3" spans="1:7" x14ac:dyDescent="0.45">
      <c r="A3" t="s">
        <v>1</v>
      </c>
      <c r="C3" t="s">
        <v>3</v>
      </c>
      <c r="D3">
        <v>0.05</v>
      </c>
    </row>
    <row r="4" spans="1:7" x14ac:dyDescent="0.45">
      <c r="A4">
        <v>175</v>
      </c>
      <c r="C4" t="s">
        <v>5</v>
      </c>
      <c r="D4">
        <f>COUNT(A4:A13)</f>
        <v>10</v>
      </c>
    </row>
    <row r="5" spans="1:7" x14ac:dyDescent="0.45">
      <c r="A5">
        <v>190</v>
      </c>
      <c r="C5" t="s">
        <v>6</v>
      </c>
      <c r="D5">
        <f>AVERAGE(A4:A13)</f>
        <v>194.8</v>
      </c>
    </row>
    <row r="6" spans="1:7" x14ac:dyDescent="0.45">
      <c r="A6">
        <v>215</v>
      </c>
      <c r="C6" t="s">
        <v>7</v>
      </c>
      <c r="D6">
        <f>_xlfn.STDEV.S(A4:A13)</f>
        <v>13.138577633146681</v>
      </c>
    </row>
    <row r="7" spans="1:7" x14ac:dyDescent="0.45">
      <c r="A7">
        <v>198</v>
      </c>
      <c r="C7" t="s">
        <v>8</v>
      </c>
      <c r="D7">
        <f>D6/SQRT(D4)</f>
        <v>4.1547830535687691</v>
      </c>
      <c r="E7" t="s">
        <v>9</v>
      </c>
    </row>
    <row r="8" spans="1:7" x14ac:dyDescent="0.45">
      <c r="A8">
        <v>184</v>
      </c>
      <c r="C8" t="s">
        <v>10</v>
      </c>
      <c r="D8">
        <f>(D5-D2)/D7</f>
        <v>-1.2515695604210733</v>
      </c>
    </row>
    <row r="9" spans="1:7" x14ac:dyDescent="0.45">
      <c r="A9">
        <v>207</v>
      </c>
      <c r="B9" t="s">
        <v>12</v>
      </c>
      <c r="C9" t="s">
        <v>11</v>
      </c>
      <c r="D9">
        <f>_xlfn.T.INV(D3,D4-1)</f>
        <v>-1.8331129326562374</v>
      </c>
    </row>
    <row r="10" spans="1:7" x14ac:dyDescent="0.45">
      <c r="A10">
        <v>210</v>
      </c>
    </row>
    <row r="11" spans="1:7" x14ac:dyDescent="0.45">
      <c r="A11">
        <v>193</v>
      </c>
      <c r="C11" t="s">
        <v>13</v>
      </c>
      <c r="D11">
        <f>_xlfn.T.DIST(D8, 9, 1)</f>
        <v>0.12113884687382762</v>
      </c>
    </row>
    <row r="12" spans="1:7" x14ac:dyDescent="0.45">
      <c r="A12">
        <v>196</v>
      </c>
    </row>
    <row r="13" spans="1:7" x14ac:dyDescent="0.45">
      <c r="A13">
        <v>180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2FE7-85DD-4EAE-A195-FBEAE93783D5}">
  <dimension ref="A1:P20"/>
  <sheetViews>
    <sheetView tabSelected="1" workbookViewId="0">
      <selection activeCell="N22" sqref="N22"/>
    </sheetView>
  </sheetViews>
  <sheetFormatPr defaultRowHeight="17" x14ac:dyDescent="0.45"/>
  <cols>
    <col min="12" max="12" width="10.75" bestFit="1" customWidth="1"/>
    <col min="13" max="13" width="12.5" bestFit="1" customWidth="1"/>
    <col min="14" max="14" width="10.75" bestFit="1" customWidth="1"/>
  </cols>
  <sheetData>
    <row r="1" spans="1:16" x14ac:dyDescent="0.45">
      <c r="A1" t="s">
        <v>14</v>
      </c>
      <c r="K1" t="s">
        <v>15</v>
      </c>
      <c r="O1" t="s">
        <v>21</v>
      </c>
    </row>
    <row r="2" spans="1:16" x14ac:dyDescent="0.45">
      <c r="B2">
        <f>_xlfn.CHISQ.INV(0.05, 17)</f>
        <v>8.671760204670079</v>
      </c>
      <c r="L2" t="s">
        <v>5</v>
      </c>
      <c r="M2">
        <v>10</v>
      </c>
      <c r="O2" t="s">
        <v>19</v>
      </c>
      <c r="P2" t="s">
        <v>20</v>
      </c>
    </row>
    <row r="3" spans="1:16" x14ac:dyDescent="0.45">
      <c r="B3">
        <f>_xlfn.CHISQ.DIST(B2, 17, 1)</f>
        <v>5.000000000000001E-2</v>
      </c>
      <c r="L3" t="s">
        <v>6</v>
      </c>
      <c r="M3">
        <v>0.5</v>
      </c>
      <c r="O3">
        <f>M4*SQRT(M6/M7)</f>
        <v>0.29173879732511399</v>
      </c>
      <c r="P3">
        <f>M4*SQRT(M6/M8)</f>
        <v>0.65807902975768851</v>
      </c>
    </row>
    <row r="4" spans="1:16" x14ac:dyDescent="0.45">
      <c r="L4" t="s">
        <v>7</v>
      </c>
      <c r="M4">
        <v>0.4</v>
      </c>
    </row>
    <row r="5" spans="1:16" x14ac:dyDescent="0.45">
      <c r="B5">
        <f>_xlfn.CHISQ.INV.RT(0.05, 17)</f>
        <v>27.587111638275324</v>
      </c>
      <c r="L5" t="s">
        <v>3</v>
      </c>
      <c r="M5">
        <v>0.1</v>
      </c>
    </row>
    <row r="6" spans="1:16" x14ac:dyDescent="0.45">
      <c r="B6">
        <f>_xlfn.CHISQ.DIST.RT(B5, 17)</f>
        <v>0.05</v>
      </c>
      <c r="L6" t="s">
        <v>16</v>
      </c>
      <c r="M6">
        <v>9</v>
      </c>
    </row>
    <row r="7" spans="1:16" x14ac:dyDescent="0.45">
      <c r="L7" t="s">
        <v>17</v>
      </c>
      <c r="M7">
        <f>_xlfn.CHISQ.INV.RT(0.05, 9)</f>
        <v>16.918977604620451</v>
      </c>
    </row>
    <row r="8" spans="1:16" x14ac:dyDescent="0.45">
      <c r="L8" t="s">
        <v>18</v>
      </c>
      <c r="M8">
        <f>_xlfn.CHISQ.INV.RT(0.95, 9)</f>
        <v>3.3251128430668162</v>
      </c>
    </row>
    <row r="16" spans="1:16" x14ac:dyDescent="0.45">
      <c r="K16" t="s">
        <v>22</v>
      </c>
    </row>
    <row r="17" spans="12:15" x14ac:dyDescent="0.45">
      <c r="L17" t="s">
        <v>23</v>
      </c>
      <c r="M17">
        <v>0.2</v>
      </c>
      <c r="N17" t="s">
        <v>24</v>
      </c>
      <c r="O17">
        <v>0.2</v>
      </c>
    </row>
    <row r="18" spans="12:15" x14ac:dyDescent="0.45">
      <c r="L18" t="s">
        <v>3</v>
      </c>
      <c r="M18">
        <v>0.05</v>
      </c>
    </row>
    <row r="19" spans="12:15" x14ac:dyDescent="0.45">
      <c r="L19" t="s">
        <v>25</v>
      </c>
      <c r="M19">
        <f>9*M4^2/M17^2</f>
        <v>36</v>
      </c>
      <c r="N19" t="s">
        <v>26</v>
      </c>
      <c r="O19">
        <f>_xlfn.CHISQ.INV.RT(M18, 9)</f>
        <v>16.918977604620451</v>
      </c>
    </row>
    <row r="20" spans="12:15" x14ac:dyDescent="0.45">
      <c r="L20" t="s">
        <v>13</v>
      </c>
      <c r="M20">
        <f>_xlfn.CHISQ.DIST.RT(M19, 9)</f>
        <v>3.9646587980428506E-5</v>
      </c>
      <c r="N20" t="s">
        <v>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2026-05-25T14:07:27Z</dcterms:created>
  <dcterms:modified xsi:type="dcterms:W3CDTF">2026-05-25T15:03:29Z</dcterms:modified>
</cp:coreProperties>
</file>