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_class\확률및통계\14주차\"/>
    </mc:Choice>
  </mc:AlternateContent>
  <xr:revisionPtr revIDLastSave="0" documentId="8_{26415C13-A36D-45E2-B5E2-2B8BDC0EA8F9}" xr6:coauthVersionLast="47" xr6:coauthVersionMax="47" xr10:uidLastSave="{00000000-0000-0000-0000-000000000000}"/>
  <bookViews>
    <workbookView xWindow="-110" yWindow="-110" windowWidth="25820" windowHeight="15500" xr2:uid="{B0E21C81-B988-4DAE-AF6F-362D6658AC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1" l="1" a="1"/>
  <c r="C7" i="1" s="1"/>
  <c r="D25" i="1"/>
  <c r="E19" i="1"/>
  <c r="E20" i="1"/>
  <c r="E21" i="1"/>
  <c r="E18" i="1"/>
  <c r="D19" i="1"/>
  <c r="D20" i="1"/>
  <c r="D21" i="1"/>
  <c r="D18" i="1"/>
  <c r="F17" i="1"/>
  <c r="E17" i="1"/>
  <c r="D17" i="1"/>
  <c r="C6" i="1"/>
  <c r="C8" i="1"/>
  <c r="C4" i="1"/>
  <c r="D4" i="1"/>
  <c r="E4" i="1"/>
  <c r="F4" i="1"/>
  <c r="G4" i="1"/>
  <c r="B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<sst xmlns="http://schemas.openxmlformats.org/spreadsheetml/2006/main" count="27" uniqueCount="21">
  <si>
    <t>H0: p !- 1/6</t>
    <phoneticPr fontId="1" type="noConversion"/>
  </si>
  <si>
    <t>i=1,2,3,4,5,6</t>
    <phoneticPr fontId="1" type="noConversion"/>
  </si>
  <si>
    <t>눈</t>
    <phoneticPr fontId="1" type="noConversion"/>
  </si>
  <si>
    <t>합계</t>
    <phoneticPr fontId="1" type="noConversion"/>
  </si>
  <si>
    <t>도수</t>
    <phoneticPr fontId="1" type="noConversion"/>
  </si>
  <si>
    <t>H0기대도수</t>
    <phoneticPr fontId="1" type="noConversion"/>
  </si>
  <si>
    <t>p-value</t>
    <phoneticPr fontId="1" type="noConversion"/>
  </si>
  <si>
    <t>chisq 0.05, 5</t>
    <phoneticPr fontId="1" type="noConversion"/>
  </si>
  <si>
    <t>homogeneity test</t>
    <phoneticPr fontId="1" type="noConversion"/>
  </si>
  <si>
    <t>chisq</t>
    <phoneticPr fontId="1" type="noConversion"/>
  </si>
  <si>
    <t>직업</t>
    <phoneticPr fontId="1" type="noConversion"/>
  </si>
  <si>
    <t>중독</t>
    <phoneticPr fontId="1" type="noConversion"/>
  </si>
  <si>
    <t>정상</t>
    <phoneticPr fontId="1" type="noConversion"/>
  </si>
  <si>
    <t>사무</t>
    <phoneticPr fontId="1" type="noConversion"/>
  </si>
  <si>
    <t>교육</t>
    <phoneticPr fontId="1" type="noConversion"/>
  </si>
  <si>
    <t>기업</t>
    <phoneticPr fontId="1" type="noConversion"/>
  </si>
  <si>
    <t>상인</t>
    <phoneticPr fontId="1" type="noConversion"/>
  </si>
  <si>
    <t>pi</t>
    <phoneticPr fontId="1" type="noConversion"/>
  </si>
  <si>
    <t>p1</t>
    <phoneticPr fontId="1" type="noConversion"/>
  </si>
  <si>
    <t>p2</t>
    <phoneticPr fontId="1" type="noConversion"/>
  </si>
  <si>
    <t>H0: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</si>
</sst>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CA29E-EC1F-49BA-9497-5F24615C30D6}">
  <dimension ref="A1:H25"/>
  <sheetViews>
    <sheetView tabSelected="1" workbookViewId="0">
      <selection activeCell="N15" sqref="N15"/>
    </sheetView>
  </sheetViews>
  <sheetFormatPr defaultRowHeight="17" x14ac:dyDescent="0.45"/>
  <cols>
    <col min="1" max="1" width="10.9140625" bestFit="1" customWidth="1"/>
    <col min="2" max="2" width="12.33203125" bestFit="1" customWidth="1"/>
    <col min="3" max="3" width="12.5" bestFit="1" customWidth="1"/>
  </cols>
  <sheetData>
    <row r="1" spans="1:8" x14ac:dyDescent="0.45">
      <c r="B1" t="s">
        <v>0</v>
      </c>
      <c r="D1" t="s">
        <v>1</v>
      </c>
    </row>
    <row r="2" spans="1:8" x14ac:dyDescent="0.45">
      <c r="A2" t="s">
        <v>2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 t="s">
        <v>3</v>
      </c>
    </row>
    <row r="3" spans="1:8" x14ac:dyDescent="0.45">
      <c r="A3" t="s">
        <v>4</v>
      </c>
      <c r="B3">
        <v>38</v>
      </c>
      <c r="C3">
        <v>61</v>
      </c>
      <c r="D3">
        <v>54</v>
      </c>
      <c r="E3">
        <v>65</v>
      </c>
      <c r="F3">
        <v>55</v>
      </c>
      <c r="G3">
        <v>37</v>
      </c>
      <c r="H3">
        <v>310</v>
      </c>
    </row>
    <row r="4" spans="1:8" x14ac:dyDescent="0.45">
      <c r="A4" t="s">
        <v>5</v>
      </c>
      <c r="B4">
        <f>310 /6</f>
        <v>51.666666666666664</v>
      </c>
      <c r="C4">
        <f t="shared" ref="C4:G4" si="0">310 /6</f>
        <v>51.666666666666664</v>
      </c>
      <c r="D4">
        <f t="shared" si="0"/>
        <v>51.666666666666664</v>
      </c>
      <c r="E4">
        <f t="shared" si="0"/>
        <v>51.666666666666664</v>
      </c>
      <c r="F4">
        <f t="shared" si="0"/>
        <v>51.666666666666664</v>
      </c>
      <c r="G4">
        <f t="shared" si="0"/>
        <v>51.666666666666664</v>
      </c>
      <c r="H4">
        <v>310</v>
      </c>
    </row>
    <row r="6" spans="1:8" x14ac:dyDescent="0.45">
      <c r="B6" t="s">
        <v>6</v>
      </c>
      <c r="C6">
        <f>_xlfn.CHISQ.TEST(B3:G3, B4:G4)</f>
        <v>2.1352150458599069E-2</v>
      </c>
    </row>
    <row r="7" spans="1:8" x14ac:dyDescent="0.45">
      <c r="B7" t="s">
        <v>9</v>
      </c>
      <c r="C7" cm="1">
        <f t="array" ref="C7">SUM((B3:G3-B4:G4)^2/B4:G4)</f>
        <v>13.225806451612902</v>
      </c>
    </row>
    <row r="8" spans="1:8" x14ac:dyDescent="0.45">
      <c r="B8" t="s">
        <v>7</v>
      </c>
      <c r="C8">
        <f>_xlfn.CHISQ.INV.RT(0.05, 5)</f>
        <v>11.070497693516353</v>
      </c>
    </row>
    <row r="10" spans="1:8" x14ac:dyDescent="0.45">
      <c r="A10" t="s">
        <v>8</v>
      </c>
      <c r="C10" t="s">
        <v>10</v>
      </c>
      <c r="D10" t="s">
        <v>11</v>
      </c>
      <c r="E10" t="s">
        <v>12</v>
      </c>
      <c r="F10" t="s">
        <v>3</v>
      </c>
    </row>
    <row r="11" spans="1:8" x14ac:dyDescent="0.45">
      <c r="C11" t="s">
        <v>13</v>
      </c>
      <c r="D11">
        <v>32</v>
      </c>
      <c r="E11">
        <v>268</v>
      </c>
      <c r="F11">
        <v>300</v>
      </c>
    </row>
    <row r="12" spans="1:8" x14ac:dyDescent="0.45">
      <c r="C12" t="s">
        <v>14</v>
      </c>
      <c r="D12">
        <v>51</v>
      </c>
      <c r="E12">
        <v>199</v>
      </c>
      <c r="F12">
        <v>250</v>
      </c>
    </row>
    <row r="13" spans="1:8" x14ac:dyDescent="0.45">
      <c r="C13" t="s">
        <v>15</v>
      </c>
      <c r="D13">
        <v>67</v>
      </c>
      <c r="E13">
        <v>233</v>
      </c>
      <c r="F13">
        <v>300</v>
      </c>
    </row>
    <row r="14" spans="1:8" x14ac:dyDescent="0.45">
      <c r="C14" t="s">
        <v>16</v>
      </c>
      <c r="D14">
        <v>83</v>
      </c>
      <c r="E14">
        <v>267</v>
      </c>
      <c r="F14">
        <v>350</v>
      </c>
    </row>
    <row r="15" spans="1:8" x14ac:dyDescent="0.45">
      <c r="C15" t="s">
        <v>3</v>
      </c>
      <c r="D15">
        <v>233</v>
      </c>
      <c r="E15">
        <v>967</v>
      </c>
      <c r="F15">
        <v>1200</v>
      </c>
    </row>
    <row r="16" spans="1:8" x14ac:dyDescent="0.45">
      <c r="C16" t="s">
        <v>17</v>
      </c>
      <c r="D16" t="s">
        <v>18</v>
      </c>
      <c r="E16" t="s">
        <v>19</v>
      </c>
    </row>
    <row r="17" spans="3:6" x14ac:dyDescent="0.45">
      <c r="C17" t="s">
        <v>20</v>
      </c>
      <c r="D17">
        <f>D15/F15</f>
        <v>0.19416666666666665</v>
      </c>
      <c r="E17">
        <f>E15/F15</f>
        <v>0.80583333333333329</v>
      </c>
      <c r="F17">
        <f>D17+E17</f>
        <v>1</v>
      </c>
    </row>
    <row r="18" spans="3:6" x14ac:dyDescent="0.45">
      <c r="C18" t="s">
        <v>13</v>
      </c>
      <c r="D18">
        <f>$D$17*F11</f>
        <v>58.249999999999993</v>
      </c>
      <c r="E18">
        <f>$E$17*F11</f>
        <v>241.75</v>
      </c>
      <c r="F18">
        <v>300</v>
      </c>
    </row>
    <row r="19" spans="3:6" x14ac:dyDescent="0.45">
      <c r="C19" t="s">
        <v>14</v>
      </c>
      <c r="D19">
        <f t="shared" ref="D19:D21" si="1">$D$17*F12</f>
        <v>48.541666666666664</v>
      </c>
      <c r="E19">
        <f t="shared" ref="E19:E21" si="2">$E$17*F12</f>
        <v>201.45833333333331</v>
      </c>
      <c r="F19">
        <v>250</v>
      </c>
    </row>
    <row r="20" spans="3:6" x14ac:dyDescent="0.45">
      <c r="C20" t="s">
        <v>15</v>
      </c>
      <c r="D20">
        <f t="shared" si="1"/>
        <v>58.249999999999993</v>
      </c>
      <c r="E20">
        <f t="shared" si="2"/>
        <v>241.75</v>
      </c>
      <c r="F20">
        <v>300</v>
      </c>
    </row>
    <row r="21" spans="3:6" x14ac:dyDescent="0.45">
      <c r="C21" t="s">
        <v>16</v>
      </c>
      <c r="D21">
        <f t="shared" si="1"/>
        <v>67.958333333333329</v>
      </c>
      <c r="E21">
        <f t="shared" si="2"/>
        <v>282.04166666666663</v>
      </c>
      <c r="F21">
        <v>350</v>
      </c>
    </row>
    <row r="25" spans="3:6" x14ac:dyDescent="0.45">
      <c r="D25">
        <f>_xlfn.CHISQ.INV.RT(0.05, 3)</f>
        <v>7.8147279032511792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태호</dc:creator>
  <cp:lastModifiedBy>안 태호</cp:lastModifiedBy>
  <dcterms:created xsi:type="dcterms:W3CDTF">2026-06-08T06:33:15Z</dcterms:created>
  <dcterms:modified xsi:type="dcterms:W3CDTF">2026-06-08T07:15:45Z</dcterms:modified>
</cp:coreProperties>
</file>