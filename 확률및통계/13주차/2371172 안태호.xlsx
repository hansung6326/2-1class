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2026_class\확률및통계\13주차\"/>
    </mc:Choice>
  </mc:AlternateContent>
  <xr:revisionPtr revIDLastSave="0" documentId="8_{970000F6-E7C6-422A-ACC2-A52B199BDC28}" xr6:coauthVersionLast="47" xr6:coauthVersionMax="47" xr10:uidLastSave="{00000000-0000-0000-0000-000000000000}"/>
  <bookViews>
    <workbookView xWindow="-110" yWindow="-110" windowWidth="25820" windowHeight="15500" xr2:uid="{FC2D5B4F-3D98-4EBE-B408-0F69ACF39B24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I32" i="1" l="1"/>
  <c r="H14" i="1"/>
  <c r="E29" i="1"/>
  <c r="E27" i="1"/>
  <c r="E26" i="1"/>
  <c r="D21" i="1"/>
  <c r="E16" i="1"/>
  <c r="E15" i="1"/>
</calcChain>
</file>

<file path=xl/sharedStrings.xml><?xml version="1.0" encoding="utf-8"?>
<sst xmlns="http://schemas.openxmlformats.org/spreadsheetml/2006/main" count="61" uniqueCount="57">
  <si>
    <t>x</t>
  </si>
  <si>
    <t>x</t>
    <phoneticPr fontId="2" type="noConversion"/>
  </si>
  <si>
    <t>y</t>
  </si>
  <si>
    <t>y</t>
    <phoneticPr fontId="2" type="noConversion"/>
  </si>
  <si>
    <t>x = 단위면적당 탄소 알갱이</t>
    <phoneticPr fontId="2" type="noConversion"/>
  </si>
  <si>
    <t>y = 열전도율</t>
    <phoneticPr fontId="2" type="noConversion"/>
  </si>
  <si>
    <t>요약 출력</t>
  </si>
  <si>
    <t>회귀분석 통계량</t>
  </si>
  <si>
    <t>다중 상관계수</t>
  </si>
  <si>
    <t>결정계수</t>
  </si>
  <si>
    <t>조정된 결정계수</t>
  </si>
  <si>
    <t>표준 오차</t>
  </si>
  <si>
    <t>관측수</t>
  </si>
  <si>
    <t>분산 분석</t>
  </si>
  <si>
    <t>회귀</t>
  </si>
  <si>
    <t>잔차</t>
  </si>
  <si>
    <t>계</t>
  </si>
  <si>
    <t>Y 절편</t>
  </si>
  <si>
    <t>자유도</t>
  </si>
  <si>
    <t>제곱합</t>
  </si>
  <si>
    <t>제곱 평균</t>
  </si>
  <si>
    <t>F 비</t>
  </si>
  <si>
    <t>유의한 F</t>
  </si>
  <si>
    <t>계수</t>
  </si>
  <si>
    <t>t 통계량</t>
  </si>
  <si>
    <t>P-값</t>
  </si>
  <si>
    <t>하위 95%</t>
  </si>
  <si>
    <t>상위 95%</t>
  </si>
  <si>
    <t>하위 95.0%</t>
  </si>
  <si>
    <t>상위 95.0%</t>
  </si>
  <si>
    <t>잔차 출력</t>
  </si>
  <si>
    <t>예측치 y</t>
  </si>
  <si>
    <t>표준 잔차</t>
  </si>
  <si>
    <t>확률 출력</t>
  </si>
  <si>
    <t>백분율</t>
  </si>
  <si>
    <t>1) 회귀직선추정</t>
    <phoneticPr fontId="2" type="noConversion"/>
  </si>
  <si>
    <t>y = -65.7198 + 0.3440x</t>
    <phoneticPr fontId="2" type="noConversion"/>
  </si>
  <si>
    <r>
      <t xml:space="preserve">2) </t>
    </r>
    <r>
      <rPr>
        <b/>
        <sz val="11"/>
        <color theme="1"/>
        <rFont val="Calibri"/>
        <family val="2"/>
        <charset val="161"/>
      </rPr>
      <t>β</t>
    </r>
    <r>
      <rPr>
        <b/>
        <sz val="11"/>
        <color theme="1"/>
        <rFont val="맑은 고딕"/>
        <family val="2"/>
        <charset val="129"/>
        <scheme val="minor"/>
      </rPr>
      <t>1 오차분산 추정</t>
    </r>
    <phoneticPr fontId="2" type="noConversion"/>
  </si>
  <si>
    <r>
      <t xml:space="preserve">y = </t>
    </r>
    <r>
      <rPr>
        <sz val="11"/>
        <color theme="1"/>
        <rFont val="Calibri"/>
        <family val="2"/>
        <charset val="161"/>
      </rPr>
      <t>β</t>
    </r>
    <r>
      <rPr>
        <sz val="11"/>
        <color theme="1"/>
        <rFont val="맑은 고딕"/>
        <family val="2"/>
        <charset val="129"/>
        <scheme val="minor"/>
      </rPr>
      <t xml:space="preserve">0 + </t>
    </r>
    <r>
      <rPr>
        <sz val="11"/>
        <color theme="1"/>
        <rFont val="Calibri"/>
        <family val="2"/>
        <charset val="161"/>
      </rPr>
      <t>β</t>
    </r>
    <r>
      <rPr>
        <sz val="11"/>
        <color theme="1"/>
        <rFont val="맑은 고딕"/>
        <family val="2"/>
        <charset val="129"/>
        <scheme val="minor"/>
      </rPr>
      <t>1x</t>
    </r>
    <phoneticPr fontId="2" type="noConversion"/>
  </si>
  <si>
    <r>
      <rPr>
        <sz val="11"/>
        <color theme="1"/>
        <rFont val="Calibri"/>
        <family val="2"/>
        <charset val="161"/>
      </rPr>
      <t>β</t>
    </r>
    <r>
      <rPr>
        <sz val="11"/>
        <color theme="1"/>
        <rFont val="맑은 고딕"/>
        <family val="2"/>
        <charset val="129"/>
        <scheme val="minor"/>
      </rPr>
      <t>0</t>
    </r>
    <phoneticPr fontId="2" type="noConversion"/>
  </si>
  <si>
    <r>
      <rPr>
        <sz val="11"/>
        <color theme="1"/>
        <rFont val="Calibri"/>
        <family val="2"/>
        <charset val="161"/>
      </rPr>
      <t>β</t>
    </r>
    <r>
      <rPr>
        <sz val="11"/>
        <color theme="1"/>
        <rFont val="맑은 고딕"/>
        <family val="2"/>
        <charset val="129"/>
        <scheme val="minor"/>
      </rPr>
      <t>1</t>
    </r>
    <phoneticPr fontId="2" type="noConversion"/>
  </si>
  <si>
    <r>
      <rPr>
        <sz val="11"/>
        <color theme="1"/>
        <rFont val="Calibri"/>
        <family val="2"/>
        <charset val="161"/>
      </rPr>
      <t>β</t>
    </r>
    <r>
      <rPr>
        <sz val="11"/>
        <color theme="1"/>
        <rFont val="맑은 고딕"/>
        <family val="2"/>
        <charset val="129"/>
        <scheme val="minor"/>
      </rPr>
      <t>1의 오차분산 = 표준오차^2</t>
    </r>
    <phoneticPr fontId="2" type="noConversion"/>
  </si>
  <si>
    <r>
      <t xml:space="preserve">3) 회귀모수 </t>
    </r>
    <r>
      <rPr>
        <b/>
        <sz val="11"/>
        <color theme="1"/>
        <rFont val="Calibri"/>
        <family val="2"/>
        <charset val="161"/>
      </rPr>
      <t>β</t>
    </r>
    <r>
      <rPr>
        <b/>
        <sz val="11"/>
        <color theme="1"/>
        <rFont val="맑은 고딕"/>
        <family val="2"/>
        <charset val="129"/>
        <scheme val="minor"/>
      </rPr>
      <t>1의 유효성 검정</t>
    </r>
    <phoneticPr fontId="2" type="noConversion"/>
  </si>
  <si>
    <t>t =</t>
    <phoneticPr fontId="2" type="noConversion"/>
  </si>
  <si>
    <t>p-value =</t>
    <phoneticPr fontId="2" type="noConversion"/>
  </si>
  <si>
    <t>alpha =</t>
    <phoneticPr fontId="2" type="noConversion"/>
  </si>
  <si>
    <t>t 0.05, 20</t>
    <phoneticPr fontId="2" type="noConversion"/>
  </si>
  <si>
    <t>4) 결정계수</t>
    <phoneticPr fontId="2" type="noConversion"/>
  </si>
  <si>
    <t>5) y의 정규성 검정</t>
    <phoneticPr fontId="2" type="noConversion"/>
  </si>
  <si>
    <t>x = 300 대입</t>
    <phoneticPr fontId="2" type="noConversion"/>
  </si>
  <si>
    <t>y =</t>
    <phoneticPr fontId="2" type="noConversion"/>
  </si>
  <si>
    <t>6) x=300일 때 열전도율 예측</t>
    <phoneticPr fontId="2" type="noConversion"/>
  </si>
  <si>
    <t>열전도율 = 37.4802</t>
    <phoneticPr fontId="2" type="noConversion"/>
  </si>
  <si>
    <t>H0</t>
    <phoneticPr fontId="2" type="noConversion"/>
  </si>
  <si>
    <r>
      <rPr>
        <sz val="11"/>
        <color theme="1"/>
        <rFont val="Calibri"/>
        <family val="2"/>
        <charset val="161"/>
      </rPr>
      <t>β</t>
    </r>
    <r>
      <rPr>
        <sz val="11"/>
        <color theme="1"/>
        <rFont val="맑은 고딕"/>
        <family val="2"/>
        <charset val="129"/>
        <scheme val="minor"/>
      </rPr>
      <t>1 = 0</t>
    </r>
    <phoneticPr fontId="2" type="noConversion"/>
  </si>
  <si>
    <t>H1</t>
    <phoneticPr fontId="2" type="noConversion"/>
  </si>
  <si>
    <r>
      <rPr>
        <sz val="11"/>
        <color theme="1"/>
        <rFont val="Calibri"/>
        <family val="2"/>
        <charset val="161"/>
      </rPr>
      <t>β</t>
    </r>
    <r>
      <rPr>
        <sz val="11"/>
        <color theme="1"/>
        <rFont val="맑은 고딕"/>
        <family val="2"/>
        <charset val="129"/>
        <scheme val="minor"/>
      </rPr>
      <t>1 ≠ 0</t>
    </r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</si>
</sst>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맑은 고딕"/>
      <family val="2"/>
      <charset val="129"/>
      <scheme val="minor"/>
    </font>
    <font>
      <b/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b/>
      <sz val="11"/>
      <color theme="1"/>
      <name val="Calibri"/>
      <family val="2"/>
      <charset val="161"/>
    </font>
    <font>
      <sz val="11"/>
      <color theme="1"/>
      <name val="Calibri"/>
      <family val="2"/>
      <charset val="161"/>
    </font>
    <font>
      <sz val="11"/>
      <color theme="1"/>
      <name val="맑은 고딕"/>
      <family val="2"/>
      <charset val="161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7">
    <xf numFmtId="0" fontId="0" fillId="0" borderId="0" xfId="0">
      <alignment vertical="center"/>
    </xf>
    <xf numFmtId="0" fontId="0" fillId="0" borderId="0" xfId="0" applyFill="1" applyBorder="1" applyAlignment="1">
      <alignment vertical="center"/>
    </xf>
    <xf numFmtId="0" fontId="0" fillId="0" borderId="1" xfId="0" applyFill="1" applyBorder="1" applyAlignment="1">
      <alignment vertical="center"/>
    </xf>
    <xf numFmtId="0" fontId="0" fillId="0" borderId="2" xfId="0" applyFont="1" applyFill="1" applyBorder="1" applyAlignment="1">
      <alignment horizontal="center" vertical="center"/>
    </xf>
    <xf numFmtId="0" fontId="0" fillId="0" borderId="2" xfId="0" applyFont="1" applyFill="1" applyBorder="1" applyAlignment="1">
      <alignment horizontal="centerContinuous" vertical="center"/>
    </xf>
    <xf numFmtId="0" fontId="1" fillId="0" borderId="0" xfId="0" applyFont="1">
      <alignment vertical="center"/>
    </xf>
    <xf numFmtId="0" fontId="5" fillId="0" borderId="0" xfId="0" applyFont="1">
      <alignment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ko-KR" altLang="en-US"/>
              <a:t>정규 확률도</a:t>
            </a:r>
          </a:p>
        </c:rich>
      </c:tx>
      <c:overlay val="0"/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38100">
              <a:noFill/>
            </a:ln>
          </c:spPr>
          <c:trendline>
            <c:trendlineType val="linear"/>
            <c:dispRSqr val="0"/>
            <c:dispEq val="0"/>
          </c:trendline>
          <c:xVal>
            <c:numRef>
              <c:f>Sheet1!$F$49:$F$70</c:f>
              <c:numCache>
                <c:formatCode>General</c:formatCode>
                <c:ptCount val="22"/>
                <c:pt idx="0">
                  <c:v>2.2727272727272729</c:v>
                </c:pt>
                <c:pt idx="1">
                  <c:v>6.8181818181818183</c:v>
                </c:pt>
                <c:pt idx="2">
                  <c:v>11.363636363636365</c:v>
                </c:pt>
                <c:pt idx="3">
                  <c:v>15.90909090909091</c:v>
                </c:pt>
                <c:pt idx="4">
                  <c:v>20.454545454545457</c:v>
                </c:pt>
                <c:pt idx="5">
                  <c:v>25.000000000000004</c:v>
                </c:pt>
                <c:pt idx="6">
                  <c:v>29.545454545454547</c:v>
                </c:pt>
                <c:pt idx="7">
                  <c:v>34.090909090909093</c:v>
                </c:pt>
                <c:pt idx="8">
                  <c:v>38.63636363636364</c:v>
                </c:pt>
                <c:pt idx="9">
                  <c:v>43.181818181818187</c:v>
                </c:pt>
                <c:pt idx="10">
                  <c:v>47.727272727272734</c:v>
                </c:pt>
                <c:pt idx="11">
                  <c:v>52.27272727272728</c:v>
                </c:pt>
                <c:pt idx="12">
                  <c:v>56.81818181818182</c:v>
                </c:pt>
                <c:pt idx="13">
                  <c:v>61.363636363636367</c:v>
                </c:pt>
                <c:pt idx="14">
                  <c:v>65.909090909090907</c:v>
                </c:pt>
                <c:pt idx="15">
                  <c:v>70.454545454545453</c:v>
                </c:pt>
                <c:pt idx="16">
                  <c:v>75</c:v>
                </c:pt>
                <c:pt idx="17">
                  <c:v>79.545454545454547</c:v>
                </c:pt>
                <c:pt idx="18">
                  <c:v>84.090909090909093</c:v>
                </c:pt>
                <c:pt idx="19">
                  <c:v>88.63636363636364</c:v>
                </c:pt>
                <c:pt idx="20">
                  <c:v>93.181818181818187</c:v>
                </c:pt>
                <c:pt idx="21">
                  <c:v>97.727272727272734</c:v>
                </c:pt>
              </c:numCache>
            </c:numRef>
          </c:xVal>
          <c:yVal>
            <c:numRef>
              <c:f>Sheet1!$G$49:$G$70</c:f>
              <c:numCache>
                <c:formatCode>General</c:formatCode>
                <c:ptCount val="22"/>
                <c:pt idx="0">
                  <c:v>20</c:v>
                </c:pt>
                <c:pt idx="1">
                  <c:v>20</c:v>
                </c:pt>
                <c:pt idx="2">
                  <c:v>20</c:v>
                </c:pt>
                <c:pt idx="3">
                  <c:v>20</c:v>
                </c:pt>
                <c:pt idx="4">
                  <c:v>20</c:v>
                </c:pt>
                <c:pt idx="5">
                  <c:v>20</c:v>
                </c:pt>
                <c:pt idx="6">
                  <c:v>30</c:v>
                </c:pt>
                <c:pt idx="7">
                  <c:v>30</c:v>
                </c:pt>
                <c:pt idx="8">
                  <c:v>30</c:v>
                </c:pt>
                <c:pt idx="9">
                  <c:v>30</c:v>
                </c:pt>
                <c:pt idx="10">
                  <c:v>30</c:v>
                </c:pt>
                <c:pt idx="11">
                  <c:v>40</c:v>
                </c:pt>
                <c:pt idx="12">
                  <c:v>45</c:v>
                </c:pt>
                <c:pt idx="13">
                  <c:v>45</c:v>
                </c:pt>
                <c:pt idx="14">
                  <c:v>45</c:v>
                </c:pt>
                <c:pt idx="15">
                  <c:v>45</c:v>
                </c:pt>
                <c:pt idx="16">
                  <c:v>55</c:v>
                </c:pt>
                <c:pt idx="17">
                  <c:v>55</c:v>
                </c:pt>
                <c:pt idx="18">
                  <c:v>65</c:v>
                </c:pt>
                <c:pt idx="19">
                  <c:v>65</c:v>
                </c:pt>
                <c:pt idx="20">
                  <c:v>65</c:v>
                </c:pt>
                <c:pt idx="21">
                  <c:v>65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66F7-4EC7-BC61-9F346CEF0C2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317295391"/>
        <c:axId val="317314111"/>
      </c:scatterChart>
      <c:valAx>
        <c:axId val="317295391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ko-KR" altLang="en-US"/>
                  <a:t>표본 백분율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317314111"/>
        <c:crosses val="autoZero"/>
        <c:crossBetween val="midCat"/>
      </c:valAx>
      <c:valAx>
        <c:axId val="317314111"/>
        <c:scaling>
          <c:orientation val="minMax"/>
        </c:scaling>
        <c:delete val="0"/>
        <c:axPos val="l"/>
        <c:majorGridlines>
          <c:spPr>
            <a:ln>
              <a:gradFill>
                <a:gsLst>
                  <a:gs pos="0">
                    <a:schemeClr val="accent1">
                      <a:lumMod val="5000"/>
                      <a:lumOff val="95000"/>
                    </a:schemeClr>
                  </a:gs>
                  <a:gs pos="74000">
                    <a:schemeClr val="accent1">
                      <a:lumMod val="45000"/>
                      <a:lumOff val="55000"/>
                    </a:schemeClr>
                  </a:gs>
                  <a:gs pos="83000">
                    <a:schemeClr val="accent1">
                      <a:lumMod val="45000"/>
                      <a:lumOff val="55000"/>
                    </a:schemeClr>
                  </a:gs>
                  <a:gs pos="100000">
                    <a:schemeClr val="accent1">
                      <a:lumMod val="30000"/>
                      <a:lumOff val="70000"/>
                    </a:schemeClr>
                  </a:gs>
                </a:gsLst>
                <a:lin ang="5400000" scaled="1"/>
              </a:gradFill>
            </a:ln>
          </c:spPr>
        </c:majorGridlines>
        <c:minorGridlines>
          <c:spPr>
            <a:ln>
              <a:noFill/>
            </a:ln>
          </c:spPr>
        </c:minorGridlines>
        <c:title>
          <c:tx>
            <c:rich>
              <a:bodyPr/>
              <a:lstStyle/>
              <a:p>
                <a:pPr>
                  <a:defRPr/>
                </a:pPr>
                <a:r>
                  <a:rPr lang="en-US" altLang="ko-KR"/>
                  <a:t>y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317295391"/>
        <c:crosses val="autoZero"/>
        <c:crossBetween val="midCat"/>
        <c:majorUnit val="10"/>
      </c:valAx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1.xml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760503</xdr:colOff>
      <xdr:row>1</xdr:row>
      <xdr:rowOff>19051</xdr:rowOff>
    </xdr:from>
    <xdr:to>
      <xdr:col>5</xdr:col>
      <xdr:colOff>457200</xdr:colOff>
      <xdr:row>10</xdr:row>
      <xdr:rowOff>26296</xdr:rowOff>
    </xdr:to>
    <xdr:pic>
      <xdr:nvPicPr>
        <xdr:cNvPr id="2" name="그림 1">
          <a:extLst>
            <a:ext uri="{FF2B5EF4-FFF2-40B4-BE49-F238E27FC236}">
              <a16:creationId xmlns:a16="http://schemas.microsoft.com/office/drawing/2014/main" id="{2F289AC7-0D0F-40A8-148A-4A8025269CD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081303" y="234951"/>
          <a:ext cx="3728947" cy="1950345"/>
        </a:xfrm>
        <a:prstGeom prst="rect">
          <a:avLst/>
        </a:prstGeom>
      </xdr:spPr>
    </xdr:pic>
    <xdr:clientData/>
  </xdr:twoCellAnchor>
  <xdr:twoCellAnchor>
    <xdr:from>
      <xdr:col>14</xdr:col>
      <xdr:colOff>19050</xdr:colOff>
      <xdr:row>13</xdr:row>
      <xdr:rowOff>69850</xdr:rowOff>
    </xdr:from>
    <xdr:to>
      <xdr:col>20</xdr:col>
      <xdr:colOff>285750</xdr:colOff>
      <xdr:row>26</xdr:row>
      <xdr:rowOff>184150</xdr:rowOff>
    </xdr:to>
    <xdr:graphicFrame macro="">
      <xdr:nvGraphicFramePr>
        <xdr:cNvPr id="3" name="차트 2">
          <a:extLst>
            <a:ext uri="{FF2B5EF4-FFF2-40B4-BE49-F238E27FC236}">
              <a16:creationId xmlns:a16="http://schemas.microsoft.com/office/drawing/2014/main" id="{EBD7E0BD-9951-A91E-3AF5-0A717956DA4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2</xdr:col>
      <xdr:colOff>781050</xdr:colOff>
      <xdr:row>29</xdr:row>
      <xdr:rowOff>165100</xdr:rowOff>
    </xdr:from>
    <xdr:to>
      <xdr:col>5</xdr:col>
      <xdr:colOff>393700</xdr:colOff>
      <xdr:row>32</xdr:row>
      <xdr:rowOff>158750</xdr:rowOff>
    </xdr:to>
    <xdr:sp macro="" textlink="">
      <xdr:nvSpPr>
        <xdr:cNvPr id="4" name="TextBox 3">
          <a:extLst>
            <a:ext uri="{FF2B5EF4-FFF2-40B4-BE49-F238E27FC236}">
              <a16:creationId xmlns:a16="http://schemas.microsoft.com/office/drawing/2014/main" id="{39077B3B-4F71-BB95-0281-E25746B92524}"/>
            </a:ext>
          </a:extLst>
        </xdr:cNvPr>
        <xdr:cNvSpPr txBox="1"/>
      </xdr:nvSpPr>
      <xdr:spPr>
        <a:xfrm>
          <a:off x="2101850" y="6432550"/>
          <a:ext cx="3644900" cy="64770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ko-KR" altLang="en-US" sz="1100"/>
            <a:t>계산된 </a:t>
          </a:r>
          <a:r>
            <a:rPr lang="en-US" altLang="ko-KR" sz="1100"/>
            <a:t>t</a:t>
          </a:r>
          <a:r>
            <a:rPr lang="ko-KR" altLang="en-US" sz="1100"/>
            <a:t>값이 임계 </a:t>
          </a:r>
          <a:r>
            <a:rPr lang="en-US" altLang="ko-KR" sz="1100"/>
            <a:t>t</a:t>
          </a:r>
          <a:r>
            <a:rPr lang="ko-KR" altLang="en-US" sz="1100"/>
            <a:t>값보다 크므로</a:t>
          </a:r>
          <a:r>
            <a:rPr lang="en-US" altLang="ko-KR" sz="1100"/>
            <a:t>, H0</a:t>
          </a:r>
          <a:r>
            <a:rPr lang="ko-KR" altLang="en-US" sz="1100"/>
            <a:t>을 기각하고</a:t>
          </a:r>
          <a:r>
            <a:rPr lang="en-US" altLang="ko-KR" sz="1100" baseline="0"/>
            <a:t> </a:t>
          </a:r>
          <a:r>
            <a:rPr lang="el-GR" altLang="ko-KR" sz="1100" baseline="0"/>
            <a:t>β</a:t>
          </a:r>
          <a:r>
            <a:rPr lang="en-US" altLang="ko-KR" sz="1100" baseline="0"/>
            <a:t>1</a:t>
          </a:r>
          <a:r>
            <a:rPr lang="ko-KR" altLang="en-US" sz="1100" baseline="0"/>
            <a:t>은 통계정으로 유효하다</a:t>
          </a:r>
          <a:r>
            <a:rPr lang="en-US" altLang="ko-KR" sz="1100" baseline="0"/>
            <a:t>.</a:t>
          </a:r>
          <a:endParaRPr lang="ko-KR" altLang="en-US" sz="1100"/>
        </a:p>
      </xdr:txBody>
    </xdr:sp>
    <xdr:clientData/>
  </xdr:twoCellAnchor>
  <xdr:twoCellAnchor>
    <xdr:from>
      <xdr:col>6</xdr:col>
      <xdr:colOff>323850</xdr:colOff>
      <xdr:row>14</xdr:row>
      <xdr:rowOff>12700</xdr:rowOff>
    </xdr:from>
    <xdr:to>
      <xdr:col>10</xdr:col>
      <xdr:colOff>234950</xdr:colOff>
      <xdr:row>17</xdr:row>
      <xdr:rowOff>12700</xdr:rowOff>
    </xdr:to>
    <xdr:sp macro="" textlink="">
      <xdr:nvSpPr>
        <xdr:cNvPr id="5" name="TextBox 4">
          <a:extLst>
            <a:ext uri="{FF2B5EF4-FFF2-40B4-BE49-F238E27FC236}">
              <a16:creationId xmlns:a16="http://schemas.microsoft.com/office/drawing/2014/main" id="{ED808FB7-F669-4C37-A529-C877062C7D11}"/>
            </a:ext>
          </a:extLst>
        </xdr:cNvPr>
        <xdr:cNvSpPr txBox="1"/>
      </xdr:nvSpPr>
      <xdr:spPr>
        <a:xfrm>
          <a:off x="6337300" y="3035300"/>
          <a:ext cx="2552700" cy="64770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altLang="ko-KR" sz="1100"/>
            <a:t>y</a:t>
          </a:r>
          <a:r>
            <a:rPr lang="ko-KR" altLang="en-US" sz="1100"/>
            <a:t>의 변동 중 약 </a:t>
          </a:r>
          <a:r>
            <a:rPr lang="en-US" altLang="ko-KR" sz="1100"/>
            <a:t>62.251%</a:t>
          </a:r>
          <a:r>
            <a:rPr lang="ko-KR" altLang="en-US" sz="1100"/>
            <a:t>가 </a:t>
          </a:r>
          <a:r>
            <a:rPr lang="en-US" altLang="ko-KR" sz="1100"/>
            <a:t>x</a:t>
          </a:r>
          <a:r>
            <a:rPr lang="ko-KR" altLang="en-US" sz="1100"/>
            <a:t>와의 선형회귀모형으로 설명된다</a:t>
          </a:r>
        </a:p>
      </xdr:txBody>
    </xdr:sp>
    <xdr:clientData/>
  </xdr:twoCellAnchor>
  <xdr:twoCellAnchor>
    <xdr:from>
      <xdr:col>6</xdr:col>
      <xdr:colOff>139700</xdr:colOff>
      <xdr:row>19</xdr:row>
      <xdr:rowOff>25400</xdr:rowOff>
    </xdr:from>
    <xdr:to>
      <xdr:col>13</xdr:col>
      <xdr:colOff>565150</xdr:colOff>
      <xdr:row>26</xdr:row>
      <xdr:rowOff>101600</xdr:rowOff>
    </xdr:to>
    <xdr:sp macro="" textlink="">
      <xdr:nvSpPr>
        <xdr:cNvPr id="6" name="TextBox 5">
          <a:extLst>
            <a:ext uri="{FF2B5EF4-FFF2-40B4-BE49-F238E27FC236}">
              <a16:creationId xmlns:a16="http://schemas.microsoft.com/office/drawing/2014/main" id="{6DAF9563-91BD-35B8-58BB-FB47C63BC807}"/>
            </a:ext>
          </a:extLst>
        </xdr:cNvPr>
        <xdr:cNvSpPr txBox="1"/>
      </xdr:nvSpPr>
      <xdr:spPr>
        <a:xfrm>
          <a:off x="6153150" y="4127500"/>
          <a:ext cx="5048250" cy="159385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ko-KR" altLang="ko-KR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y의 정규성 검정정규확률도를 보면 y값이 20, 30, 45, 55, 65의 몇 개 이산값으로만 구성되어 있어,점들이 이상적인 연속형 정규분포처럼 매끄러운 직선 위에 놓이기보다는 다소 계단식 패턴을 보인다.따라서 엄밀하게는 정규성 가정을 완전히 만족한다고 보기는 어렵다.그러나 표본 크기 (n=22)가 크지 않고, 전체적인 패턴은 직선에서 크게 벗어나지 않으므로</a:t>
          </a:r>
          <a:r>
            <a:rPr lang="en-US" altLang="ko-KR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</a:t>
          </a:r>
          <a:r>
            <a:rPr lang="ko-KR" altLang="ko-KR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회귀분석 결과를 해석하는 데에는 정규성 가정이 크게 문제되지 않는다고 판단할 수 있다.</a:t>
          </a:r>
          <a:endParaRPr lang="ko-KR" altLang="en-US" sz="1100"/>
        </a:p>
      </xdr:txBody>
    </xdr:sp>
    <xdr:clientData/>
  </xdr:twoCellAnchor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12321D8-7588-4D1B-A762-258C9F8BC988}">
  <dimension ref="A1:I70"/>
  <sheetViews>
    <sheetView tabSelected="1" topLeftCell="A8" workbookViewId="0">
      <selection activeCell="M31" sqref="M31"/>
    </sheetView>
  </sheetViews>
  <sheetFormatPr defaultRowHeight="17" x14ac:dyDescent="0.45"/>
  <cols>
    <col min="3" max="3" width="25.33203125" bestFit="1" customWidth="1"/>
    <col min="4" max="4" width="15.08203125" bestFit="1" customWidth="1"/>
    <col min="5" max="5" width="12.5" bestFit="1" customWidth="1"/>
  </cols>
  <sheetData>
    <row r="1" spans="1:8" x14ac:dyDescent="0.45">
      <c r="A1" t="s">
        <v>1</v>
      </c>
      <c r="B1" t="s">
        <v>3</v>
      </c>
      <c r="C1" t="s">
        <v>4</v>
      </c>
      <c r="D1" t="s">
        <v>5</v>
      </c>
    </row>
    <row r="2" spans="1:8" x14ac:dyDescent="0.45">
      <c r="A2">
        <v>346</v>
      </c>
      <c r="B2">
        <v>45</v>
      </c>
    </row>
    <row r="3" spans="1:8" x14ac:dyDescent="0.45">
      <c r="A3">
        <v>272</v>
      </c>
      <c r="B3">
        <v>20</v>
      </c>
    </row>
    <row r="4" spans="1:8" x14ac:dyDescent="0.45">
      <c r="A4">
        <v>276</v>
      </c>
      <c r="B4">
        <v>20</v>
      </c>
    </row>
    <row r="5" spans="1:8" x14ac:dyDescent="0.45">
      <c r="A5">
        <v>350</v>
      </c>
      <c r="B5">
        <v>65</v>
      </c>
    </row>
    <row r="6" spans="1:8" x14ac:dyDescent="0.45">
      <c r="A6">
        <v>345</v>
      </c>
      <c r="B6">
        <v>65</v>
      </c>
    </row>
    <row r="7" spans="1:8" x14ac:dyDescent="0.45">
      <c r="A7">
        <v>304</v>
      </c>
      <c r="B7">
        <v>20</v>
      </c>
    </row>
    <row r="8" spans="1:8" x14ac:dyDescent="0.45">
      <c r="A8">
        <v>311</v>
      </c>
      <c r="B8">
        <v>30</v>
      </c>
    </row>
    <row r="9" spans="1:8" x14ac:dyDescent="0.45">
      <c r="A9">
        <v>338</v>
      </c>
      <c r="B9">
        <v>30</v>
      </c>
    </row>
    <row r="10" spans="1:8" x14ac:dyDescent="0.45">
      <c r="A10">
        <v>344</v>
      </c>
      <c r="B10">
        <v>55</v>
      </c>
    </row>
    <row r="11" spans="1:8" x14ac:dyDescent="0.45">
      <c r="A11">
        <v>346</v>
      </c>
      <c r="B11">
        <v>55</v>
      </c>
    </row>
    <row r="12" spans="1:8" x14ac:dyDescent="0.45">
      <c r="A12">
        <v>272</v>
      </c>
      <c r="B12">
        <v>30</v>
      </c>
    </row>
    <row r="13" spans="1:8" x14ac:dyDescent="0.45">
      <c r="A13">
        <v>276</v>
      </c>
      <c r="B13">
        <v>30</v>
      </c>
      <c r="D13" s="5" t="s">
        <v>35</v>
      </c>
      <c r="H13" s="5" t="s">
        <v>47</v>
      </c>
    </row>
    <row r="14" spans="1:8" x14ac:dyDescent="0.45">
      <c r="A14">
        <v>239</v>
      </c>
      <c r="B14">
        <v>20</v>
      </c>
      <c r="D14" t="s">
        <v>38</v>
      </c>
      <c r="H14">
        <f>B29</f>
        <v>0.6225096684268282</v>
      </c>
    </row>
    <row r="15" spans="1:8" x14ac:dyDescent="0.45">
      <c r="A15">
        <v>254</v>
      </c>
      <c r="B15">
        <v>20</v>
      </c>
      <c r="D15" s="6" t="s">
        <v>39</v>
      </c>
      <c r="E15">
        <f>B41</f>
        <v>-65.719781084436391</v>
      </c>
    </row>
    <row r="16" spans="1:8" x14ac:dyDescent="0.45">
      <c r="A16">
        <v>238</v>
      </c>
      <c r="B16">
        <v>20</v>
      </c>
      <c r="D16" s="6" t="s">
        <v>40</v>
      </c>
      <c r="E16">
        <f>B42</f>
        <v>0.34405180302262023</v>
      </c>
    </row>
    <row r="17" spans="1:9" x14ac:dyDescent="0.45">
      <c r="A17">
        <v>304</v>
      </c>
      <c r="B17">
        <v>30</v>
      </c>
      <c r="D17" t="s">
        <v>36</v>
      </c>
    </row>
    <row r="18" spans="1:9" x14ac:dyDescent="0.45">
      <c r="A18">
        <v>311</v>
      </c>
      <c r="B18">
        <v>45</v>
      </c>
    </row>
    <row r="19" spans="1:9" x14ac:dyDescent="0.45">
      <c r="A19">
        <v>338</v>
      </c>
      <c r="B19">
        <v>45</v>
      </c>
      <c r="D19" s="5" t="s">
        <v>37</v>
      </c>
      <c r="H19" s="5" t="s">
        <v>48</v>
      </c>
    </row>
    <row r="20" spans="1:9" x14ac:dyDescent="0.45">
      <c r="A20">
        <v>344</v>
      </c>
      <c r="B20">
        <v>65</v>
      </c>
      <c r="D20" s="6" t="s">
        <v>41</v>
      </c>
    </row>
    <row r="21" spans="1:9" x14ac:dyDescent="0.45">
      <c r="A21">
        <v>346</v>
      </c>
      <c r="B21">
        <v>65</v>
      </c>
      <c r="D21">
        <f>C42^2</f>
        <v>3.5890326763461425E-3</v>
      </c>
    </row>
    <row r="22" spans="1:9" x14ac:dyDescent="0.45">
      <c r="A22">
        <v>272</v>
      </c>
      <c r="B22">
        <v>45</v>
      </c>
    </row>
    <row r="23" spans="1:9" x14ac:dyDescent="0.45">
      <c r="A23">
        <v>276</v>
      </c>
      <c r="B23">
        <v>40</v>
      </c>
      <c r="D23" s="5" t="s">
        <v>42</v>
      </c>
    </row>
    <row r="24" spans="1:9" x14ac:dyDescent="0.45">
      <c r="D24" t="s">
        <v>53</v>
      </c>
      <c r="E24" s="6" t="s">
        <v>54</v>
      </c>
    </row>
    <row r="25" spans="1:9" x14ac:dyDescent="0.45">
      <c r="A25" t="s">
        <v>6</v>
      </c>
      <c r="D25" t="s">
        <v>55</v>
      </c>
      <c r="E25" s="6" t="s">
        <v>56</v>
      </c>
    </row>
    <row r="26" spans="1:9" ht="17.5" thickBot="1" x14ac:dyDescent="0.5">
      <c r="D26" t="s">
        <v>43</v>
      </c>
      <c r="E26">
        <f>D42</f>
        <v>5.7429512794170208</v>
      </c>
    </row>
    <row r="27" spans="1:9" x14ac:dyDescent="0.45">
      <c r="A27" s="4" t="s">
        <v>7</v>
      </c>
      <c r="B27" s="4"/>
      <c r="D27" t="s">
        <v>44</v>
      </c>
      <c r="E27">
        <f>E42</f>
        <v>1.2784465533354155E-5</v>
      </c>
    </row>
    <row r="28" spans="1:9" x14ac:dyDescent="0.45">
      <c r="A28" s="1" t="s">
        <v>8</v>
      </c>
      <c r="B28" s="1">
        <v>0.78899281899572959</v>
      </c>
      <c r="D28" t="s">
        <v>45</v>
      </c>
      <c r="E28">
        <v>0.05</v>
      </c>
    </row>
    <row r="29" spans="1:9" x14ac:dyDescent="0.45">
      <c r="A29" s="1" t="s">
        <v>9</v>
      </c>
      <c r="B29" s="1">
        <v>0.6225096684268282</v>
      </c>
      <c r="D29" t="s">
        <v>46</v>
      </c>
      <c r="E29">
        <f>_xlfn.T.INV.2T(E28, 20)</f>
        <v>2.0859634472658648</v>
      </c>
      <c r="H29" s="5" t="s">
        <v>51</v>
      </c>
    </row>
    <row r="30" spans="1:9" x14ac:dyDescent="0.45">
      <c r="A30" s="1" t="s">
        <v>10</v>
      </c>
      <c r="B30" s="1">
        <v>0.60363515184816963</v>
      </c>
      <c r="H30" t="s">
        <v>36</v>
      </c>
    </row>
    <row r="31" spans="1:9" x14ac:dyDescent="0.45">
      <c r="A31" s="1" t="s">
        <v>11</v>
      </c>
      <c r="B31" s="1">
        <v>10.581124732953286</v>
      </c>
      <c r="H31" t="s">
        <v>49</v>
      </c>
    </row>
    <row r="32" spans="1:9" ht="17.5" thickBot="1" x14ac:dyDescent="0.5">
      <c r="A32" s="2" t="s">
        <v>12</v>
      </c>
      <c r="B32" s="2">
        <v>22</v>
      </c>
      <c r="H32" t="s">
        <v>50</v>
      </c>
      <c r="I32">
        <f>-65.7198 + 0.344*300</f>
        <v>37.480199999999982</v>
      </c>
    </row>
    <row r="33" spans="1:9" x14ac:dyDescent="0.45">
      <c r="H33" t="s">
        <v>52</v>
      </c>
    </row>
    <row r="34" spans="1:9" ht="17.5" thickBot="1" x14ac:dyDescent="0.5">
      <c r="A34" t="s">
        <v>13</v>
      </c>
    </row>
    <row r="35" spans="1:9" x14ac:dyDescent="0.45">
      <c r="A35" s="3"/>
      <c r="B35" s="3" t="s">
        <v>18</v>
      </c>
      <c r="C35" s="3" t="s">
        <v>19</v>
      </c>
      <c r="D35" s="3" t="s">
        <v>20</v>
      </c>
      <c r="E35" s="3" t="s">
        <v>21</v>
      </c>
      <c r="F35" s="3" t="s">
        <v>22</v>
      </c>
    </row>
    <row r="36" spans="1:9" x14ac:dyDescent="0.45">
      <c r="A36" s="1" t="s">
        <v>14</v>
      </c>
      <c r="B36" s="1">
        <v>1</v>
      </c>
      <c r="C36" s="1">
        <v>3692.6141695318684</v>
      </c>
      <c r="D36" s="1">
        <v>3692.6141695318684</v>
      </c>
      <c r="E36" s="1">
        <v>32.981489397757592</v>
      </c>
      <c r="F36" s="1">
        <v>1.2784465533354201E-5</v>
      </c>
    </row>
    <row r="37" spans="1:9" x14ac:dyDescent="0.45">
      <c r="A37" s="1" t="s">
        <v>15</v>
      </c>
      <c r="B37" s="1">
        <v>20</v>
      </c>
      <c r="C37" s="1">
        <v>2239.2040122863154</v>
      </c>
      <c r="D37" s="1">
        <v>111.96020061431577</v>
      </c>
      <c r="E37" s="1"/>
      <c r="F37" s="1"/>
    </row>
    <row r="38" spans="1:9" ht="17.5" thickBot="1" x14ac:dyDescent="0.5">
      <c r="A38" s="2" t="s">
        <v>16</v>
      </c>
      <c r="B38" s="2">
        <v>21</v>
      </c>
      <c r="C38" s="2">
        <v>5931.8181818181838</v>
      </c>
      <c r="D38" s="2"/>
      <c r="E38" s="2"/>
      <c r="F38" s="2"/>
    </row>
    <row r="39" spans="1:9" ht="17.5" thickBot="1" x14ac:dyDescent="0.5"/>
    <row r="40" spans="1:9" x14ac:dyDescent="0.45">
      <c r="A40" s="3"/>
      <c r="B40" s="3" t="s">
        <v>23</v>
      </c>
      <c r="C40" s="3" t="s">
        <v>11</v>
      </c>
      <c r="D40" s="3" t="s">
        <v>24</v>
      </c>
      <c r="E40" s="3" t="s">
        <v>25</v>
      </c>
      <c r="F40" s="3" t="s">
        <v>26</v>
      </c>
      <c r="G40" s="3" t="s">
        <v>27</v>
      </c>
      <c r="H40" s="3" t="s">
        <v>28</v>
      </c>
      <c r="I40" s="3" t="s">
        <v>29</v>
      </c>
    </row>
    <row r="41" spans="1:9" x14ac:dyDescent="0.45">
      <c r="A41" s="1" t="s">
        <v>17</v>
      </c>
      <c r="B41" s="1">
        <v>-65.719781084436391</v>
      </c>
      <c r="C41" s="1">
        <v>18.389214954018659</v>
      </c>
      <c r="D41" s="1">
        <v>-3.5738220064731161</v>
      </c>
      <c r="E41" s="1">
        <v>1.9004137209429606E-3</v>
      </c>
      <c r="F41" s="1">
        <v>-104.07901130243414</v>
      </c>
      <c r="G41" s="1">
        <v>-27.360550866438636</v>
      </c>
      <c r="H41" s="1">
        <v>-104.07901130243414</v>
      </c>
      <c r="I41" s="1">
        <v>-27.360550866438636</v>
      </c>
    </row>
    <row r="42" spans="1:9" ht="17.5" thickBot="1" x14ac:dyDescent="0.5">
      <c r="A42" s="2" t="s">
        <v>0</v>
      </c>
      <c r="B42" s="2">
        <v>0.34405180302262023</v>
      </c>
      <c r="C42" s="2">
        <v>5.9908535922238514E-2</v>
      </c>
      <c r="D42" s="2">
        <v>5.7429512794170208</v>
      </c>
      <c r="E42" s="2">
        <v>1.2784465533354155E-5</v>
      </c>
      <c r="F42" s="2">
        <v>0.21908478690961669</v>
      </c>
      <c r="G42" s="2">
        <v>0.46901881913562377</v>
      </c>
      <c r="H42" s="2">
        <v>0.21908478690961669</v>
      </c>
      <c r="I42" s="2">
        <v>0.46901881913562377</v>
      </c>
    </row>
    <row r="46" spans="1:9" x14ac:dyDescent="0.45">
      <c r="A46" t="s">
        <v>30</v>
      </c>
      <c r="F46" t="s">
        <v>33</v>
      </c>
    </row>
    <row r="47" spans="1:9" ht="17.5" thickBot="1" x14ac:dyDescent="0.5"/>
    <row r="48" spans="1:9" x14ac:dyDescent="0.45">
      <c r="A48" s="3" t="s">
        <v>12</v>
      </c>
      <c r="B48" s="3" t="s">
        <v>31</v>
      </c>
      <c r="C48" s="3" t="s">
        <v>15</v>
      </c>
      <c r="D48" s="3" t="s">
        <v>32</v>
      </c>
      <c r="F48" s="3" t="s">
        <v>34</v>
      </c>
      <c r="G48" s="3" t="s">
        <v>2</v>
      </c>
    </row>
    <row r="49" spans="1:7" x14ac:dyDescent="0.45">
      <c r="A49" s="1">
        <v>1</v>
      </c>
      <c r="B49" s="1">
        <v>53.322142761390211</v>
      </c>
      <c r="C49" s="1">
        <v>-8.3221427613902108</v>
      </c>
      <c r="D49" s="1">
        <v>-0.80593121521072064</v>
      </c>
      <c r="F49" s="1">
        <v>2.2727272727272729</v>
      </c>
      <c r="G49" s="1">
        <v>20</v>
      </c>
    </row>
    <row r="50" spans="1:7" x14ac:dyDescent="0.45">
      <c r="A50" s="1">
        <v>2</v>
      </c>
      <c r="B50" s="1">
        <v>27.862309337716312</v>
      </c>
      <c r="C50" s="1">
        <v>-7.8623093377163116</v>
      </c>
      <c r="D50" s="1">
        <v>-0.76140012261094592</v>
      </c>
      <c r="F50" s="1">
        <v>6.8181818181818183</v>
      </c>
      <c r="G50" s="1">
        <v>20</v>
      </c>
    </row>
    <row r="51" spans="1:7" x14ac:dyDescent="0.45">
      <c r="A51" s="1">
        <v>3</v>
      </c>
      <c r="B51" s="1">
        <v>29.238516549806789</v>
      </c>
      <c r="C51" s="1">
        <v>-9.2385165498067892</v>
      </c>
      <c r="D51" s="1">
        <v>-0.89467449468342852</v>
      </c>
      <c r="F51" s="1">
        <v>11.363636363636365</v>
      </c>
      <c r="G51" s="1">
        <v>20</v>
      </c>
    </row>
    <row r="52" spans="1:7" x14ac:dyDescent="0.45">
      <c r="A52" s="1">
        <v>4</v>
      </c>
      <c r="B52" s="1">
        <v>54.698349973480688</v>
      </c>
      <c r="C52" s="1">
        <v>10.301650026519312</v>
      </c>
      <c r="D52" s="1">
        <v>0.99763024530972411</v>
      </c>
      <c r="F52" s="1">
        <v>15.90909090909091</v>
      </c>
      <c r="G52" s="1">
        <v>20</v>
      </c>
    </row>
    <row r="53" spans="1:7" x14ac:dyDescent="0.45">
      <c r="A53" s="1">
        <v>5</v>
      </c>
      <c r="B53" s="1">
        <v>52.978090958367588</v>
      </c>
      <c r="C53" s="1">
        <v>12.021909041632412</v>
      </c>
      <c r="D53" s="1">
        <v>1.1642232104003276</v>
      </c>
      <c r="F53" s="1">
        <v>20.454545454545457</v>
      </c>
      <c r="G53" s="1">
        <v>20</v>
      </c>
    </row>
    <row r="54" spans="1:7" x14ac:dyDescent="0.45">
      <c r="A54" s="1">
        <v>6</v>
      </c>
      <c r="B54" s="1">
        <v>38.871967034440161</v>
      </c>
      <c r="C54" s="1">
        <v>-18.871967034440161</v>
      </c>
      <c r="D54" s="1">
        <v>-1.8275950991908092</v>
      </c>
      <c r="F54" s="1">
        <v>25.000000000000004</v>
      </c>
      <c r="G54" s="1">
        <v>20</v>
      </c>
    </row>
    <row r="55" spans="1:7" x14ac:dyDescent="0.45">
      <c r="A55" s="1">
        <v>7</v>
      </c>
      <c r="B55" s="1">
        <v>41.280329655598493</v>
      </c>
      <c r="C55" s="1">
        <v>-11.280329655598493</v>
      </c>
      <c r="D55" s="1">
        <v>-1.0924073340211897</v>
      </c>
      <c r="F55" s="1">
        <v>29.545454545454547</v>
      </c>
      <c r="G55" s="1">
        <v>30</v>
      </c>
    </row>
    <row r="56" spans="1:7" x14ac:dyDescent="0.45">
      <c r="A56" s="1">
        <v>8</v>
      </c>
      <c r="B56" s="1">
        <v>50.569728337209241</v>
      </c>
      <c r="C56" s="1">
        <v>-20.569728337209241</v>
      </c>
      <c r="D56" s="1">
        <v>-1.9920093455104495</v>
      </c>
      <c r="F56" s="1">
        <v>34.090909090909093</v>
      </c>
      <c r="G56" s="1">
        <v>30</v>
      </c>
    </row>
    <row r="57" spans="1:7" x14ac:dyDescent="0.45">
      <c r="A57" s="1">
        <v>9</v>
      </c>
      <c r="B57" s="1">
        <v>52.634039155344965</v>
      </c>
      <c r="C57" s="1">
        <v>2.3659608446550351</v>
      </c>
      <c r="D57" s="1">
        <v>0.22912388712198503</v>
      </c>
      <c r="F57" s="1">
        <v>38.63636363636364</v>
      </c>
      <c r="G57" s="1">
        <v>30</v>
      </c>
    </row>
    <row r="58" spans="1:7" x14ac:dyDescent="0.45">
      <c r="A58" s="1">
        <v>10</v>
      </c>
      <c r="B58" s="1">
        <v>53.322142761390211</v>
      </c>
      <c r="C58" s="1">
        <v>1.6778572386097892</v>
      </c>
      <c r="D58" s="1">
        <v>0.16248670108574303</v>
      </c>
      <c r="F58" s="1">
        <v>43.181818181818187</v>
      </c>
      <c r="G58" s="1">
        <v>30</v>
      </c>
    </row>
    <row r="59" spans="1:7" x14ac:dyDescent="0.45">
      <c r="A59" s="1">
        <v>11</v>
      </c>
      <c r="B59" s="1">
        <v>27.862309337716312</v>
      </c>
      <c r="C59" s="1">
        <v>2.1376906622836884</v>
      </c>
      <c r="D59" s="1">
        <v>0.2070177936855177</v>
      </c>
      <c r="F59" s="1">
        <v>47.727272727272734</v>
      </c>
      <c r="G59" s="1">
        <v>30</v>
      </c>
    </row>
    <row r="60" spans="1:7" x14ac:dyDescent="0.45">
      <c r="A60" s="1">
        <v>12</v>
      </c>
      <c r="B60" s="1">
        <v>29.238516549806789</v>
      </c>
      <c r="C60" s="1">
        <v>0.76148345019321084</v>
      </c>
      <c r="D60" s="1">
        <v>7.3743421613035126E-2</v>
      </c>
      <c r="F60" s="1">
        <v>52.27272727272728</v>
      </c>
      <c r="G60" s="1">
        <v>40</v>
      </c>
    </row>
    <row r="61" spans="1:7" x14ac:dyDescent="0.45">
      <c r="A61" s="1">
        <v>13</v>
      </c>
      <c r="B61" s="1">
        <v>16.50859983796984</v>
      </c>
      <c r="C61" s="1">
        <v>3.4914001620301605</v>
      </c>
      <c r="D61" s="1">
        <v>0.33811344698703838</v>
      </c>
      <c r="F61" s="1">
        <v>56.81818181818182</v>
      </c>
      <c r="G61" s="1">
        <v>45</v>
      </c>
    </row>
    <row r="62" spans="1:7" x14ac:dyDescent="0.45">
      <c r="A62" s="1">
        <v>14</v>
      </c>
      <c r="B62" s="1">
        <v>21.669376883309141</v>
      </c>
      <c r="C62" s="1">
        <v>-1.6693768833091411</v>
      </c>
      <c r="D62" s="1">
        <v>-0.16166544828477231</v>
      </c>
      <c r="F62" s="1">
        <v>61.363636363636367</v>
      </c>
      <c r="G62" s="1">
        <v>45</v>
      </c>
    </row>
    <row r="63" spans="1:7" x14ac:dyDescent="0.45">
      <c r="A63" s="1">
        <v>15</v>
      </c>
      <c r="B63" s="1">
        <v>16.164548034947217</v>
      </c>
      <c r="C63" s="1">
        <v>3.8354519650527834</v>
      </c>
      <c r="D63" s="1">
        <v>0.37143204000515934</v>
      </c>
      <c r="F63" s="1">
        <v>65.909090909090907</v>
      </c>
      <c r="G63" s="1">
        <v>45</v>
      </c>
    </row>
    <row r="64" spans="1:7" x14ac:dyDescent="0.45">
      <c r="A64" s="1">
        <v>16</v>
      </c>
      <c r="B64" s="1">
        <v>38.871967034440161</v>
      </c>
      <c r="C64" s="1">
        <v>-8.8719670344401607</v>
      </c>
      <c r="D64" s="1">
        <v>-0.85917718289434564</v>
      </c>
      <c r="F64" s="1">
        <v>70.454545454545453</v>
      </c>
      <c r="G64" s="1">
        <v>45</v>
      </c>
    </row>
    <row r="65" spans="1:7" x14ac:dyDescent="0.45">
      <c r="A65" s="1">
        <v>17</v>
      </c>
      <c r="B65" s="1">
        <v>41.280329655598493</v>
      </c>
      <c r="C65" s="1">
        <v>3.7196703444015071</v>
      </c>
      <c r="D65" s="1">
        <v>0.36021954042350568</v>
      </c>
      <c r="F65" s="1">
        <v>75</v>
      </c>
      <c r="G65" s="1">
        <v>55</v>
      </c>
    </row>
    <row r="66" spans="1:7" x14ac:dyDescent="0.45">
      <c r="A66" s="1">
        <v>18</v>
      </c>
      <c r="B66" s="1">
        <v>50.569728337209241</v>
      </c>
      <c r="C66" s="1">
        <v>-5.5697283372092414</v>
      </c>
      <c r="D66" s="1">
        <v>-0.5393824710657541</v>
      </c>
      <c r="F66" s="1">
        <v>79.545454545454547</v>
      </c>
      <c r="G66" s="1">
        <v>55</v>
      </c>
    </row>
    <row r="67" spans="1:7" x14ac:dyDescent="0.45">
      <c r="A67" s="1">
        <v>19</v>
      </c>
      <c r="B67" s="1">
        <v>52.634039155344965</v>
      </c>
      <c r="C67" s="1">
        <v>12.365960844655035</v>
      </c>
      <c r="D67" s="1">
        <v>1.1975418034184486</v>
      </c>
      <c r="F67" s="1">
        <v>84.090909090909093</v>
      </c>
      <c r="G67" s="1">
        <v>65</v>
      </c>
    </row>
    <row r="68" spans="1:7" x14ac:dyDescent="0.45">
      <c r="A68" s="1">
        <v>20</v>
      </c>
      <c r="B68" s="1">
        <v>53.322142761390211</v>
      </c>
      <c r="C68" s="1">
        <v>11.677857238609789</v>
      </c>
      <c r="D68" s="1">
        <v>1.1309046173822066</v>
      </c>
      <c r="F68" s="1">
        <v>88.63636363636364</v>
      </c>
      <c r="G68" s="1">
        <v>65</v>
      </c>
    </row>
    <row r="69" spans="1:7" x14ac:dyDescent="0.45">
      <c r="A69" s="1">
        <v>21</v>
      </c>
      <c r="B69" s="1">
        <v>27.862309337716312</v>
      </c>
      <c r="C69" s="1">
        <v>17.137690662283688</v>
      </c>
      <c r="D69" s="1">
        <v>1.6596446681302131</v>
      </c>
      <c r="F69" s="1">
        <v>93.181818181818187</v>
      </c>
      <c r="G69" s="1">
        <v>65</v>
      </c>
    </row>
    <row r="70" spans="1:7" ht="17.5" thickBot="1" x14ac:dyDescent="0.5">
      <c r="A70" s="2">
        <v>22</v>
      </c>
      <c r="B70" s="2">
        <v>29.238516549806789</v>
      </c>
      <c r="C70" s="2">
        <v>10.761483450193211</v>
      </c>
      <c r="D70" s="2">
        <v>1.0421613379094987</v>
      </c>
      <c r="F70" s="2">
        <v>97.727272727272734</v>
      </c>
      <c r="G70" s="2">
        <v>65</v>
      </c>
    </row>
  </sheetData>
  <sortState xmlns:xlrd2="http://schemas.microsoft.com/office/spreadsheetml/2017/richdata2" ref="G49:G70">
    <sortCondition ref="G49"/>
  </sortState>
  <phoneticPr fontId="2" type="noConversion"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안 태호</dc:creator>
  <cp:lastModifiedBy>안 태호</cp:lastModifiedBy>
  <dcterms:created xsi:type="dcterms:W3CDTF">2026-06-08T03:08:04Z</dcterms:created>
  <dcterms:modified xsi:type="dcterms:W3CDTF">2026-06-08T03:52:28Z</dcterms:modified>
</cp:coreProperties>
</file>